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Source_manifest" sheetId="2" state="visible" r:id="rId2"/>
    <sheet xmlns:r="http://schemas.openxmlformats.org/officeDocument/2006/relationships" name="Audit_log" sheetId="3" state="visible" r:id="rId3"/>
    <sheet xmlns:r="http://schemas.openxmlformats.org/officeDocument/2006/relationships" name="Label_map" sheetId="4" state="visible" r:id="rId4"/>
    <sheet xmlns:r="http://schemas.openxmlformats.org/officeDocument/2006/relationships" name="Summary_entry" sheetId="5" state="visible" r:id="rId5"/>
    <sheet xmlns:r="http://schemas.openxmlformats.org/officeDocument/2006/relationships" name="Formula_summary" sheetId="6" state="visible" r:id="rId6"/>
    <sheet xmlns:r="http://schemas.openxmlformats.org/officeDocument/2006/relationships" name="Correlation_formulas" sheetId="7" state="visible" r:id="rId7"/>
    <sheet xmlns:r="http://schemas.openxmlformats.org/officeDocument/2006/relationships" name="Formula_reference" sheetId="8" state="visible" r:id="rId8"/>
    <sheet xmlns:r="http://schemas.openxmlformats.org/officeDocument/2006/relationships" name="Full_all" sheetId="9" state="visible" r:id="rId9"/>
    <sheet xmlns:r="http://schemas.openxmlformats.org/officeDocument/2006/relationships" name="Full_luxury" sheetId="10" state="visible" r:id="rId10"/>
    <sheet xmlns:r="http://schemas.openxmlformats.org/officeDocument/2006/relationships" name="Full_nonluxury" sheetId="11" state="visible" r:id="rId11"/>
    <sheet xmlns:r="http://schemas.openxmlformats.org/officeDocument/2006/relationships" name="Screen_all" sheetId="12" state="visible" r:id="rId12"/>
    <sheet xmlns:r="http://schemas.openxmlformats.org/officeDocument/2006/relationships" name="Screen_luxury" sheetId="13" state="visible" r:id="rId13"/>
    <sheet xmlns:r="http://schemas.openxmlformats.org/officeDocument/2006/relationships" name="Screen_nonluxury" sheetId="14" state="visible" r:id="rId14"/>
    <sheet xmlns:r="http://schemas.openxmlformats.org/officeDocument/2006/relationships" name="Sample_5000" sheetId="15" state="visible" r:id="rId15"/>
    <sheet xmlns:r="http://schemas.openxmlformats.org/officeDocument/2006/relationships" name="Sampling_log" sheetId="16" state="visible" r:id="rId16"/>
    <sheet xmlns:r="http://schemas.openxmlformats.org/officeDocument/2006/relationships" name="Chart_log" sheetId="17" state="visible" r:id="rId17"/>
  </sheets>
  <definedNames>
    <definedName name="_xlnm._FilterDatabase" localSheetId="0" hidden="1">'Start_here'!$A$1:$B$15</definedName>
    <definedName name="_xlnm._FilterDatabase" localSheetId="1" hidden="1">'Source_manifest'!$A$1:$C$12</definedName>
    <definedName name="_xlnm._FilterDatabase" localSheetId="2" hidden="1">'Audit_log'!$A$1:$G$20</definedName>
    <definedName name="_xlnm._FilterDatabase" localSheetId="3" hidden="1">'Label_map'!$A$1:$F$4</definedName>
    <definedName name="_xlnm._FilterDatabase" localSheetId="4" hidden="1">'Summary_entry'!$A$1:$F$7</definedName>
    <definedName name="_xlnm._FilterDatabase" localSheetId="5" hidden="1">'Formula_summary'!$A$1:$M$19</definedName>
    <definedName name="_xlnm._FilterDatabase" localSheetId="6" hidden="1">'Correlation_formulas'!$A$1:$E$13</definedName>
    <definedName name="_xlnm._FilterDatabase" localSheetId="7" hidden="1">'Formula_reference'!$A$1:$C$10</definedName>
    <definedName name="_xlnm._FilterDatabase" localSheetId="8" hidden="1">'Full_all'!$A$1:$F$1</definedName>
    <definedName name="_xlnm._FilterDatabase" localSheetId="9" hidden="1">'Full_luxury'!$A$1:$F$1</definedName>
    <definedName name="_xlnm._FilterDatabase" localSheetId="10" hidden="1">'Full_nonluxury'!$A$1:$F$1</definedName>
    <definedName name="_xlnm._FilterDatabase" localSheetId="11" hidden="1">'Screen_all'!$A$1:$F$1</definedName>
    <definedName name="_xlnm._FilterDatabase" localSheetId="12" hidden="1">'Screen_luxury'!$A$1:$F$1</definedName>
    <definedName name="_xlnm._FilterDatabase" localSheetId="13" hidden="1">'Screen_nonluxury'!$A$1:$F$1</definedName>
    <definedName name="_xlnm._FilterDatabase" localSheetId="14" hidden="1">'Sample_5000'!$A$1:$G$1</definedName>
    <definedName name="_xlnm._FilterDatabase" localSheetId="15" hidden="1">'Sampling_log'!$A$1:$C$12</definedName>
    <definedName name="_xlnm._FilterDatabase" localSheetId="16" hidden="1">'Chart_log'!$A$1:$H$6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63B53"/>
      </patternFill>
    </fill>
    <fill>
      <patternFill patternType="solid">
        <fgColor rgb="00EE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2" customWidth="1" min="2" max="2"/>
  </cols>
  <sheetData>
    <row r="1" ht="32" customHeight="1">
      <c r="A1" s="1" t="inlineStr">
        <is>
          <t>ITEM</t>
        </is>
      </c>
      <c r="B1" s="1" t="inlineStr">
        <is>
          <t>STATUS / INSTRUCTION</t>
        </is>
      </c>
    </row>
    <row r="2" ht="48" customHeight="1">
      <c r="A2" s="2" t="inlineStr">
        <is>
          <t>Execution status</t>
        </is>
      </c>
      <c r="B2" s="2" t="inlineStr">
        <is>
          <t>NOT RUN IN MICROSOFT EXCEL. Template only; no vehicle data or verified results.</t>
        </is>
      </c>
    </row>
    <row r="3" ht="48" customHeight="1">
      <c r="A3" s="3" t="inlineStr">
        <is>
          <t>Source</t>
        </is>
      </c>
      <c r="B3" s="3" t="inlineStr">
        <is>
          <t>Use the SAME original randomised XLSM. Preserve its original data and Dataset!B6.</t>
        </is>
      </c>
    </row>
    <row r="4" ht="48" customHeight="1">
      <c r="A4" s="2" t="inlineStr">
        <is>
          <t>Do not substitute</t>
        </is>
      </c>
      <c r="B4" s="2" t="inlineStr">
        <is>
          <t>No CSV round-trip, no new randomisation, no precision-as-displayed setting.</t>
        </is>
      </c>
    </row>
    <row r="5" ht="48" customHeight="1">
      <c r="A5" s="3" t="inlineStr">
        <is>
          <t>Use in original workbook</t>
        </is>
      </c>
      <c r="B5" s="3" t="inlineStr">
        <is>
          <t>Copy these template sheets together into the original XLSM work copy. Verify that formulas reference that workbook, without external links.</t>
        </is>
      </c>
    </row>
    <row r="6" ht="48" customHeight="1">
      <c r="A6" s="2" t="inlineStr">
        <is>
          <t>Cohort layout</t>
        </is>
      </c>
      <c r="B6" s="2" t="inlineStr">
        <is>
          <t>A Original_Row; B Brand_Clean; C Segment; D Car_Price; E Registration_Age; F Kms_Driven. Data start at row 2.</t>
        </is>
      </c>
    </row>
    <row r="7" ht="48" customHeight="1">
      <c r="A7" s="3" t="inlineStr">
        <is>
          <t>Before calculation</t>
        </is>
      </c>
      <c r="B7" s="3" t="inlineStr">
        <is>
          <t>Populate the six cohorts manually in Excel using the audited rules; enter their actual last worksheet rows on Summary_entry.</t>
        </is>
      </c>
    </row>
    <row r="8" ht="48" customHeight="1">
      <c r="A8" s="2" t="inlineStr">
        <is>
          <t>Summary formulas</t>
        </is>
      </c>
      <c r="B8" s="2" t="inlineStr">
        <is>
          <t>Formula_summary contains native Excel formulas. They are unexecuted; Excel must calculate and save them after source data are inserted.</t>
        </is>
      </c>
    </row>
    <row r="9" ht="48" customHeight="1">
      <c r="A9" s="3" t="inlineStr">
        <is>
          <t>No-mode rule</t>
        </is>
      </c>
      <c r="B9" s="3" t="inlineStr">
        <is>
          <t>If a nonempty original-precision numerical series has no repeats, report No mode — all values unique. If modes tie, retain actual mode values with MODE.MULT.</t>
        </is>
      </c>
    </row>
    <row r="10" ht="48" customHeight="1">
      <c r="A10" s="2" t="inlineStr">
        <is>
          <t>Counts and correlation</t>
        </is>
      </c>
      <c r="B10" s="2" t="inlineStr">
        <is>
          <t>COUNT records numerical n. CORREL requires equal-length, aligned ranges and paired valid observations; audit invalid values before copying cohorts.</t>
        </is>
      </c>
    </row>
    <row r="11" ht="48" customHeight="1">
      <c r="A11" s="3" t="inlineStr">
        <is>
          <t>Sampling</t>
        </is>
      </c>
      <c r="B11" s="3" t="inlineStr">
        <is>
          <t>Generate RAND() in Excel over the entire eligible pool; paste values, save, sort whole rows, retain original row IDs and select 5,000.</t>
        </is>
      </c>
    </row>
    <row r="12" ht="48" customHeight="1">
      <c r="A12" s="2" t="inlineStr">
        <is>
          <t>Graphs</t>
        </is>
      </c>
      <c r="B12" s="2" t="inlineStr">
        <is>
          <t>No charts included. Build actual Excel chart objects from verified data and record their ranges in Chart_log.</t>
        </is>
      </c>
    </row>
    <row r="13" ht="48" customHeight="1">
      <c r="A13" s="3" t="inlineStr">
        <is>
          <t>No original B6 here</t>
        </is>
      </c>
      <c r="B13" s="3" t="inlineStr">
        <is>
          <t>The screenshot record on Source_manifest is not the original B6 cell. Preserve the real Dataset sheet in the completed XLSM.</t>
        </is>
      </c>
    </row>
    <row r="14" ht="48" customHeight="1">
      <c r="A14" s="2" t="inlineStr">
        <is>
          <t>Report</t>
        </is>
      </c>
      <c r="B14" s="2" t="inlineStr">
        <is>
          <t>Current revision PDF/Word is a draft; old CSV numbers remain provisional and Python charts are withdrawn.</t>
        </is>
      </c>
    </row>
    <row r="15" ht="48" customHeight="1">
      <c r="A15" s="3" t="inlineStr">
        <is>
          <t>Execution environment</t>
        </is>
      </c>
      <c r="B15" s="3" t="inlineStr">
        <is>
          <t>This template was authored programmatically as a blank document; no source data, sample, statistical calculations or chart generation were performed.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2" customWidth="1" min="2" max="2"/>
    <col width="72" customWidth="1" min="3" max="3"/>
  </cols>
  <sheetData>
    <row r="1" ht="32" customHeight="1">
      <c r="A1" s="1" t="inlineStr">
        <is>
          <t>RECORD</t>
        </is>
      </c>
      <c r="B1" s="1" t="inlineStr">
        <is>
          <t>VALUE</t>
        </is>
      </c>
      <c r="C1" s="1" t="inlineStr">
        <is>
          <t>EVIDENCE / STATUS</t>
        </is>
      </c>
    </row>
    <row r="2" ht="48" customHeight="1">
      <c r="A2" s="2" t="inlineStr">
        <is>
          <t>Original filename</t>
        </is>
      </c>
      <c r="B2" s="2" t="inlineStr"/>
      <c r="C2" s="2" t="inlineStr">
        <is>
          <t>Enter actual original randomised XLSM filename</t>
        </is>
      </c>
    </row>
    <row r="3" ht="48" customHeight="1">
      <c r="A3" s="3" t="inlineStr">
        <is>
          <t>Original data sheet</t>
        </is>
      </c>
      <c r="B3" s="3" t="inlineStr"/>
      <c r="C3" s="3" t="inlineStr">
        <is>
          <t>Retain entire original worksheet</t>
        </is>
      </c>
    </row>
    <row r="4" ht="48" customHeight="1">
      <c r="A4" s="2" t="inlineStr">
        <is>
          <t>Original header row</t>
        </is>
      </c>
      <c r="B4" s="2" t="inlineStr"/>
      <c r="C4" s="2" t="inlineStr">
        <is>
          <t>Verify before adapting formulas</t>
        </is>
      </c>
    </row>
    <row r="5" ht="48" customHeight="1">
      <c r="A5" s="3" t="inlineStr">
        <is>
          <t>Original first / last rows</t>
        </is>
      </c>
      <c r="B5" s="3" t="inlineStr"/>
      <c r="C5" s="3" t="inlineStr">
        <is>
          <t>Record actual bounds</t>
        </is>
      </c>
    </row>
    <row r="6" ht="48" customHeight="1">
      <c r="A6" s="2" t="inlineStr">
        <is>
          <t>Dataset!B6 complete text</t>
        </is>
      </c>
      <c r="B6" s="2" t="inlineStr"/>
      <c r="C6" s="2" t="inlineStr">
        <is>
          <t>Reference the original preserved cell; do not fabricate or overwrite it</t>
        </is>
      </c>
    </row>
    <row r="7" ht="48" customHeight="1">
      <c r="A7" s="3" t="inlineStr">
        <is>
          <t>Screenshot timestamp</t>
        </is>
      </c>
      <c r="B7" s="3" t="inlineStr">
        <is>
          <t>2026-10-07 06:20:30</t>
        </is>
      </c>
      <c r="C7" s="3" t="inlineStr">
        <is>
          <t>Observed screenshot only; timezone unspecified</t>
        </is>
      </c>
    </row>
    <row r="8" ht="48" customHeight="1">
      <c r="A8" s="2" t="inlineStr">
        <is>
          <t>Original stored precision</t>
        </is>
      </c>
      <c r="B8" s="2" t="inlineStr"/>
      <c r="C8" s="2" t="inlineStr">
        <is>
          <t>Precision-as-displayed disabled; no CSV/ROUND source conversion</t>
        </is>
      </c>
    </row>
    <row r="9" ht="48" customHeight="1">
      <c r="A9" s="3" t="inlineStr">
        <is>
          <t>Excel platform / version</t>
        </is>
      </c>
      <c r="B9" s="3" t="inlineStr"/>
      <c r="C9" s="3" t="inlineStr">
        <is>
          <t>Enter actual Microsoft Excel version used</t>
        </is>
      </c>
    </row>
    <row r="10" ht="48" customHeight="1">
      <c r="A10" s="2" t="inlineStr">
        <is>
          <t>Calculation / save time</t>
        </is>
      </c>
      <c r="B10" s="2" t="inlineStr"/>
      <c r="C10" s="2" t="inlineStr">
        <is>
          <t>Complete only after actual Excel execution</t>
        </is>
      </c>
    </row>
    <row r="11" ht="48" customHeight="1">
      <c r="A11" s="3" t="inlineStr">
        <is>
          <t>Price / usage unique</t>
        </is>
      </c>
      <c r="B11" s="3" t="inlineStr">
        <is>
          <t>User reported all values unique</t>
        </is>
      </c>
      <c r="C11" s="3" t="inlineStr">
        <is>
          <t>Independent original-XLSM Excel check pending</t>
        </is>
      </c>
    </row>
    <row r="12" ht="48" customHeight="1">
      <c r="A12" s="2" t="inlineStr">
        <is>
          <t>Original source hash</t>
        </is>
      </c>
      <c r="B12" s="2" t="inlineStr"/>
      <c r="C12" s="2" t="inlineStr">
        <is>
          <t>Enter if available; do not substitute the old CSV hash</t>
        </is>
      </c>
    </row>
  </sheetData>
  <autoFilter ref="A1:C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2" customHeight="1">
      <c r="A1" s="1" t="inlineStr">
        <is>
          <t>CHECK</t>
        </is>
      </c>
      <c r="B1" s="1" t="inlineStr">
        <is>
          <t>EXCEL FORMULA / MENU / RANGE</t>
        </is>
      </c>
      <c r="C1" s="1" t="inlineStr">
        <is>
          <t>OBSERVED COUNT</t>
        </is>
      </c>
      <c r="D1" s="1" t="inlineStr">
        <is>
          <t>ACTUAL EXCLUSION COUNT</t>
        </is>
      </c>
      <c r="E1" s="1" t="inlineStr">
        <is>
          <t>DECISION / REASON</t>
        </is>
      </c>
      <c r="F1" s="1" t="inlineStr">
        <is>
          <t>EXECUTED BY / DATE</t>
        </is>
      </c>
      <c r="G1" s="1" t="inlineStr">
        <is>
          <t>STATUS</t>
        </is>
      </c>
    </row>
    <row r="2">
      <c r="A2" s="2" t="inlineStr">
        <is>
          <t>Blank cells by variable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NOT RUN</t>
        </is>
      </c>
    </row>
    <row r="3">
      <c r="A3" s="3" t="inlineStr">
        <is>
          <t>Non-numeric key values</t>
        </is>
      </c>
      <c r="B3" s="3" t="inlineStr"/>
      <c r="C3" s="3" t="inlineStr"/>
      <c r="D3" s="3" t="inlineStr"/>
      <c r="E3" s="3" t="inlineStr"/>
      <c r="F3" s="3" t="inlineStr"/>
      <c r="G3" s="3" t="inlineStr">
        <is>
          <t>NOT RUN</t>
        </is>
      </c>
    </row>
    <row r="4">
      <c r="A4" s="2" t="inlineStr">
        <is>
          <t>Negative age / usage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NOT RUN</t>
        </is>
      </c>
    </row>
    <row r="5">
      <c r="A5" s="3" t="inlineStr">
        <is>
          <t>Nonpositive prices</t>
        </is>
      </c>
      <c r="B5" s="3" t="inlineStr"/>
      <c r="C5" s="3" t="inlineStr"/>
      <c r="D5" s="3" t="inlineStr"/>
      <c r="E5" s="3" t="inlineStr"/>
      <c r="F5" s="3" t="inlineStr"/>
      <c r="G5" s="3" t="inlineStr">
        <is>
          <t>NOT RUN</t>
        </is>
      </c>
    </row>
    <row r="6">
      <c r="A6" s="2" t="inlineStr">
        <is>
          <t>Exact duplicates across original 20 columns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NOT RUN</t>
        </is>
      </c>
    </row>
    <row r="7">
      <c r="A7" s="3" t="inlineStr">
        <is>
          <t>Duplicates after label normalisation</t>
        </is>
      </c>
      <c r="B7" s="3" t="inlineStr"/>
      <c r="C7" s="3" t="inlineStr"/>
      <c r="D7" s="3" t="inlineStr"/>
      <c r="E7" s="3" t="inlineStr"/>
      <c r="F7" s="3" t="inlineStr"/>
      <c r="G7" s="3" t="inlineStr">
        <is>
          <t>NOT RUN</t>
        </is>
      </c>
    </row>
    <row r="8">
      <c r="A8" s="2" t="inlineStr">
        <is>
          <t>Brand labels changed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NOT RUN</t>
        </is>
      </c>
    </row>
    <row r="9">
      <c r="A9" s="3" t="inlineStr">
        <is>
          <t>Luxury recovered by label cleaning</t>
        </is>
      </c>
      <c r="B9" s="3" t="inlineStr"/>
      <c r="C9" s="3" t="inlineStr"/>
      <c r="D9" s="3" t="inlineStr"/>
      <c r="E9" s="3" t="inlineStr"/>
      <c r="F9" s="3" t="inlineStr"/>
      <c r="G9" s="3" t="inlineStr">
        <is>
          <t>NOT RUN</t>
        </is>
      </c>
    </row>
    <row r="10">
      <c r="A10" s="2" t="inlineStr">
        <is>
          <t>Fuel labels changed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NOT RUN</t>
        </is>
      </c>
    </row>
    <row r="11">
      <c r="A11" s="3" t="inlineStr">
        <is>
          <t>Unclassified brand records</t>
        </is>
      </c>
      <c r="B11" s="3" t="inlineStr"/>
      <c r="C11" s="3" t="inlineStr"/>
      <c r="D11" s="3" t="inlineStr"/>
      <c r="E11" s="3" t="inlineStr"/>
      <c r="F11" s="3" t="inlineStr"/>
      <c r="G11" s="3" t="inlineStr">
        <is>
          <t>NOT RUN</t>
        </is>
      </c>
    </row>
    <row r="12">
      <c r="A12" s="2" t="inlineStr">
        <is>
          <t>Unknown categories retained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NOT RUN</t>
        </is>
      </c>
    </row>
    <row r="13">
      <c r="A13" s="3" t="inlineStr">
        <is>
          <t>Auxiliary zeros</t>
        </is>
      </c>
      <c r="B13" s="3" t="inlineStr"/>
      <c r="C13" s="3" t="inlineStr"/>
      <c r="D13" s="3" t="inlineStr"/>
      <c r="E13" s="3" t="inlineStr"/>
      <c r="F13" s="3" t="inlineStr"/>
      <c r="G13" s="3" t="inlineStr">
        <is>
          <t>NOT RUN</t>
        </is>
      </c>
    </row>
    <row r="14">
      <c r="A14" s="2" t="inlineStr">
        <is>
          <t>Usage above 1,000,000 km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NOT RUN</t>
        </is>
      </c>
    </row>
    <row r="15">
      <c r="A15" s="3" t="inlineStr">
        <is>
          <t>Actual exclusions by reason</t>
        </is>
      </c>
      <c r="B15" s="3" t="inlineStr"/>
      <c r="C15" s="3" t="inlineStr"/>
      <c r="D15" s="3" t="inlineStr"/>
      <c r="E15" s="3" t="inlineStr"/>
      <c r="F15" s="3" t="inlineStr"/>
      <c r="G15" s="3" t="inlineStr">
        <is>
          <t>NOT RUN</t>
        </is>
      </c>
    </row>
    <row r="16">
      <c r="A16" s="2" t="inlineStr">
        <is>
          <t>High price IQR diagnostic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NOT RUN</t>
        </is>
      </c>
    </row>
    <row r="17">
      <c r="A17" s="3" t="inlineStr">
        <is>
          <t>Full / segment count reconciliation</t>
        </is>
      </c>
      <c r="B17" s="3" t="inlineStr"/>
      <c r="C17" s="3" t="inlineStr"/>
      <c r="D17" s="3" t="inlineStr"/>
      <c r="E17" s="3" t="inlineStr"/>
      <c r="F17" s="3" t="inlineStr"/>
      <c r="G17" s="3" t="inlineStr">
        <is>
          <t>NOT RUN</t>
        </is>
      </c>
    </row>
    <row r="18">
      <c r="A18" s="2" t="inlineStr">
        <is>
          <t>Original-precision price uniqueness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NOT RUN</t>
        </is>
      </c>
    </row>
    <row r="19">
      <c r="A19" s="3" t="inlineStr">
        <is>
          <t>Original-precision usage uniqueness</t>
        </is>
      </c>
      <c r="B19" s="3" t="inlineStr"/>
      <c r="C19" s="3" t="inlineStr"/>
      <c r="D19" s="3" t="inlineStr"/>
      <c r="E19" s="3" t="inlineStr"/>
      <c r="F19" s="3" t="inlineStr"/>
      <c r="G19" s="3" t="inlineStr">
        <is>
          <t>NOT RUN</t>
        </is>
      </c>
    </row>
    <row r="20">
      <c r="A20" s="2" t="inlineStr">
        <is>
          <t>Correlations paired-valid n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NOT RUN</t>
        </is>
      </c>
    </row>
  </sheetData>
  <autoFilter ref="A1:G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VARIABLE</t>
        </is>
      </c>
      <c r="B1" s="1" t="inlineStr">
        <is>
          <t>SOURCE TOKEN</t>
        </is>
      </c>
      <c r="C1" s="1" t="inlineStr">
        <is>
          <t>NORMALISED VALUE</t>
        </is>
      </c>
      <c r="D1" s="1" t="inlineStr">
        <is>
          <t>RATIONALE</t>
        </is>
      </c>
      <c r="E1" s="1" t="inlineStr">
        <is>
          <t>ACTUAL AFFECTED N</t>
        </is>
      </c>
      <c r="F1" s="1" t="inlineStr">
        <is>
          <t>STATUS</t>
        </is>
      </c>
    </row>
    <row r="2">
      <c r="A2" s="2" t="inlineStr">
        <is>
          <t>Fuel_Type</t>
        </is>
      </c>
      <c r="B2" s="2" t="inlineStr">
        <is>
          <t>hybridd</t>
        </is>
      </c>
      <c r="C2" s="2" t="inlineStr">
        <is>
          <t>Hybrid</t>
        </is>
      </c>
      <c r="D2" s="2" t="inlineStr">
        <is>
          <t>Course guide spelling example; confirm actual original values</t>
        </is>
      </c>
      <c r="E2" s="2" t="inlineStr"/>
      <c r="F2" s="2" t="inlineStr">
        <is>
          <t>NOT RUN</t>
        </is>
      </c>
    </row>
    <row r="3">
      <c r="A3" s="3" t="inlineStr">
        <is>
          <t>Fuel_Type</t>
        </is>
      </c>
      <c r="B3" s="3" t="inlineStr">
        <is>
          <t>electrik</t>
        </is>
      </c>
      <c r="C3" s="3" t="inlineStr">
        <is>
          <t>Electric</t>
        </is>
      </c>
      <c r="D3" s="3" t="inlineStr">
        <is>
          <t>Previously observed CSV token; confirm original</t>
        </is>
      </c>
      <c r="E3" s="3" t="inlineStr"/>
      <c r="F3" s="3" t="inlineStr">
        <is>
          <t>NOT RUN</t>
        </is>
      </c>
    </row>
    <row r="4">
      <c r="A4" s="2" t="inlineStr">
        <is>
          <t>Brand</t>
        </is>
      </c>
      <c r="B4" s="2" t="inlineStr">
        <is>
          <t>Leading/trailing spaces</t>
        </is>
      </c>
      <c r="C4" s="2" t="inlineStr">
        <is>
          <t>TRIM(source)</t>
        </is>
      </c>
      <c r="D4" s="2" t="inlineStr">
        <is>
          <t>Verify full before/after labels; retain originals</t>
        </is>
      </c>
      <c r="E4" s="2" t="inlineStr"/>
      <c r="F4" s="2" t="inlineStr">
        <is>
          <t>NOT RUN</t>
        </is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COHORT</t>
        </is>
      </c>
      <c r="B1" s="1" t="inlineStr">
        <is>
          <t>ACTUAL LAST DATA ROW</t>
        </is>
      </c>
      <c r="C1" s="1" t="inlineStr">
        <is>
          <t>ELIGIBLE ROW N</t>
        </is>
      </c>
      <c r="D1" s="1" t="inlineStr">
        <is>
          <t>METHOD / FILTER</t>
        </is>
      </c>
      <c r="E1" s="1" t="inlineStr">
        <is>
          <t>EXECUTED / DATE</t>
        </is>
      </c>
      <c r="F1" s="1" t="inlineStr">
        <is>
          <t>STATUS</t>
        </is>
      </c>
    </row>
    <row r="2">
      <c r="A2" s="2" t="inlineStr">
        <is>
          <t>Full_all</t>
        </is>
      </c>
      <c r="B2" s="2" t="n"/>
      <c r="C2" s="4">
        <f>IF(B2&lt;2,"NOT RUN",B2-1)</f>
        <v/>
      </c>
      <c r="D2" s="2" t="inlineStr"/>
      <c r="E2" s="2" t="inlineStr"/>
      <c r="F2" s="2" t="inlineStr">
        <is>
          <t>NOT RUN</t>
        </is>
      </c>
    </row>
    <row r="3">
      <c r="A3" s="3" t="inlineStr">
        <is>
          <t>Full_luxury</t>
        </is>
      </c>
      <c r="B3" s="3" t="n"/>
      <c r="C3" s="5">
        <f>IF(B3&lt;2,"NOT RUN",B3-1)</f>
        <v/>
      </c>
      <c r="D3" s="3" t="inlineStr"/>
      <c r="E3" s="3" t="inlineStr"/>
      <c r="F3" s="3" t="inlineStr">
        <is>
          <t>NOT RUN</t>
        </is>
      </c>
    </row>
    <row r="4">
      <c r="A4" s="2" t="inlineStr">
        <is>
          <t>Full_nonluxury</t>
        </is>
      </c>
      <c r="B4" s="2" t="n"/>
      <c r="C4" s="4">
        <f>IF(B4&lt;2,"NOT RUN",B4-1)</f>
        <v/>
      </c>
      <c r="D4" s="2" t="inlineStr"/>
      <c r="E4" s="2" t="inlineStr"/>
      <c r="F4" s="2" t="inlineStr">
        <is>
          <t>NOT RUN</t>
        </is>
      </c>
    </row>
    <row r="5">
      <c r="A5" s="3" t="inlineStr">
        <is>
          <t>Screen_all</t>
        </is>
      </c>
      <c r="B5" s="3" t="n"/>
      <c r="C5" s="5">
        <f>IF(B5&lt;2,"NOT RUN",B5-1)</f>
        <v/>
      </c>
      <c r="D5" s="3" t="inlineStr"/>
      <c r="E5" s="3" t="inlineStr"/>
      <c r="F5" s="3" t="inlineStr">
        <is>
          <t>NOT RUN</t>
        </is>
      </c>
    </row>
    <row r="6">
      <c r="A6" s="2" t="inlineStr">
        <is>
          <t>Screen_luxury</t>
        </is>
      </c>
      <c r="B6" s="2" t="n"/>
      <c r="C6" s="4">
        <f>IF(B6&lt;2,"NOT RUN",B6-1)</f>
        <v/>
      </c>
      <c r="D6" s="2" t="inlineStr"/>
      <c r="E6" s="2" t="inlineStr"/>
      <c r="F6" s="2" t="inlineStr">
        <is>
          <t>NOT RUN</t>
        </is>
      </c>
    </row>
    <row r="7">
      <c r="A7" s="3" t="inlineStr">
        <is>
          <t>Screen_nonluxury</t>
        </is>
      </c>
      <c r="B7" s="3" t="n"/>
      <c r="C7" s="5">
        <f>IF(B7&lt;2,"NOT RUN",B7-1)</f>
        <v/>
      </c>
      <c r="D7" s="3" t="inlineStr"/>
      <c r="E7" s="3" t="inlineStr"/>
      <c r="F7" s="3" t="inlineStr">
        <is>
          <t>NOT RUN</t>
        </is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32" customHeight="1">
      <c r="A1" s="1" t="inlineStr">
        <is>
          <t>COHORT</t>
        </is>
      </c>
      <c r="B1" s="1" t="inlineStr">
        <is>
          <t>VARIABLE</t>
        </is>
      </c>
      <c r="C1" s="1" t="inlineStr">
        <is>
          <t>NUMERIC 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MODE</t>
        </is>
      </c>
      <c r="G1" s="1" t="inlineStr">
        <is>
          <t>SAMPLE SD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Q1</t>
        </is>
      </c>
      <c r="K1" s="1" t="inlineStr">
        <is>
          <t>Q3</t>
        </is>
      </c>
      <c r="L1" s="1" t="inlineStr">
        <is>
          <t>IQR</t>
        </is>
      </c>
      <c r="M1" s="1" t="inlineStr">
        <is>
          <t>DATA RANGE / CHECK</t>
        </is>
      </c>
    </row>
    <row r="2">
      <c r="A2" s="2" t="inlineStr">
        <is>
          <t>Full_all</t>
        </is>
      </c>
      <c r="B2" s="2" t="inlineStr">
        <is>
          <t>Car_Price</t>
        </is>
      </c>
      <c r="C2" s="4">
        <f>IF(Summary_entry!$B$2&lt;2,"NOT RUN",COUNT('Full_all'!$D$2:INDEX('Full_all'!$D:$D,Summary_entry!$B$2)))</f>
        <v/>
      </c>
      <c r="D2" s="4">
        <f>IF(Summary_entry!$B$2&lt;2,"NOT RUN",IF(C2=0,"NO VALID VALUES",AVERAGE('Full_all'!$D$2:INDEX('Full_all'!$D:$D,Summary_entry!$B$2))))</f>
        <v/>
      </c>
      <c r="E2" s="4">
        <f>IF(Summary_entry!$B$2&lt;2,"NOT RUN",IF(C2=0,"NO VALID VALUES",MEDIAN('Full_all'!$D$2:INDEX('Full_all'!$D:$D,Summary_entry!$B$2))))</f>
        <v/>
      </c>
      <c r="F2" s="4">
        <f>IF(Summary_entry!$B$2&lt;2,"NOT RUN",IF(C2=0,"NO VALID VALUES",_xlfn.IFNA(_xlfn.MODE.SNGL('Full_all'!$D$2:INDEX('Full_all'!$D:$D,Summary_entry!$B$2)),"No mode — all values unique")))</f>
        <v/>
      </c>
      <c r="G2" s="4">
        <f>IF(Summary_entry!$B$2&lt;2,"NOT RUN",IF(C2&lt;2,"INSUFFICIENT N",_xlfn.STDEV.S('Full_all'!$D$2:INDEX('Full_all'!$D:$D,Summary_entry!$B$2))))</f>
        <v/>
      </c>
      <c r="H2" s="4">
        <f>IF(Summary_entry!$B$2&lt;2,"NOT RUN",IF(C2=0,"NO VALID VALUES",MIN('Full_all'!$D$2:INDEX('Full_all'!$D:$D,Summary_entry!$B$2))))</f>
        <v/>
      </c>
      <c r="I2" s="4">
        <f>IF(Summary_entry!$B$2&lt;2,"NOT RUN",IF(C2=0,"NO VALID VALUES",MAX('Full_all'!$D$2:INDEX('Full_all'!$D:$D,Summary_entry!$B$2))))</f>
        <v/>
      </c>
      <c r="J2" s="4">
        <f>IF(Summary_entry!$B$2&lt;2,"NOT RUN",IF(C2=0,"NO VALID VALUES",_xlfn.QUARTILE.INC('Full_all'!$D$2:INDEX('Full_all'!$D:$D,Summary_entry!$B$2),1)))</f>
        <v/>
      </c>
      <c r="K2" s="4">
        <f>IF(Summary_entry!$B$2&lt;2,"NOT RUN",IF(C2=0,"NO VALID VALUES",_xlfn.QUARTILE.INC('Full_all'!$D$2:INDEX('Full_all'!$D:$D,Summary_entry!$B$2),3)))</f>
        <v/>
      </c>
      <c r="L2" s="4">
        <f>IF(Summary_entry!$B$2&lt;2,"NOT RUN",IF(C2=0,"NO VALID VALUES",K2-J2))</f>
        <v/>
      </c>
      <c r="M2" s="2" t="inlineStr">
        <is>
          <t>Full_all!D2:D[last row from Summary_entry]</t>
        </is>
      </c>
    </row>
    <row r="3">
      <c r="A3" s="3" t="inlineStr">
        <is>
          <t>Full_all</t>
        </is>
      </c>
      <c r="B3" s="3" t="inlineStr">
        <is>
          <t>Registration_Age</t>
        </is>
      </c>
      <c r="C3" s="5">
        <f>IF(Summary_entry!$B$2&lt;2,"NOT RUN",COUNT('Full_all'!$E$2:INDEX('Full_all'!$E:$E,Summary_entry!$B$2)))</f>
        <v/>
      </c>
      <c r="D3" s="5">
        <f>IF(Summary_entry!$B$2&lt;2,"NOT RUN",IF(C3=0,"NO VALID VALUES",AVERAGE('Full_all'!$E$2:INDEX('Full_all'!$E:$E,Summary_entry!$B$2))))</f>
        <v/>
      </c>
      <c r="E3" s="5">
        <f>IF(Summary_entry!$B$2&lt;2,"NOT RUN",IF(C3=0,"NO VALID VALUES",MEDIAN('Full_all'!$E$2:INDEX('Full_all'!$E:$E,Summary_entry!$B$2))))</f>
        <v/>
      </c>
      <c r="F3" s="5">
        <f>IF(Summary_entry!$B$2&lt;2,"NOT RUN",IF(C3=0,"NO VALID VALUES",_xlfn.IFNA(_xlfn.MODE.SNGL('Full_all'!$E$2:INDEX('Full_all'!$E:$E,Summary_entry!$B$2)),"No mode — all values unique")))</f>
        <v/>
      </c>
      <c r="G3" s="5">
        <f>IF(Summary_entry!$B$2&lt;2,"NOT RUN",IF(C3&lt;2,"INSUFFICIENT N",_xlfn.STDEV.S('Full_all'!$E$2:INDEX('Full_all'!$E:$E,Summary_entry!$B$2))))</f>
        <v/>
      </c>
      <c r="H3" s="5">
        <f>IF(Summary_entry!$B$2&lt;2,"NOT RUN",IF(C3=0,"NO VALID VALUES",MIN('Full_all'!$E$2:INDEX('Full_all'!$E:$E,Summary_entry!$B$2))))</f>
        <v/>
      </c>
      <c r="I3" s="5">
        <f>IF(Summary_entry!$B$2&lt;2,"NOT RUN",IF(C3=0,"NO VALID VALUES",MAX('Full_all'!$E$2:INDEX('Full_all'!$E:$E,Summary_entry!$B$2))))</f>
        <v/>
      </c>
      <c r="J3" s="5">
        <f>IF(Summary_entry!$B$2&lt;2,"NOT RUN",IF(C3=0,"NO VALID VALUES",_xlfn.QUARTILE.INC('Full_all'!$E$2:INDEX('Full_all'!$E:$E,Summary_entry!$B$2),1)))</f>
        <v/>
      </c>
      <c r="K3" s="5">
        <f>IF(Summary_entry!$B$2&lt;2,"NOT RUN",IF(C3=0,"NO VALID VALUES",_xlfn.QUARTILE.INC('Full_all'!$E$2:INDEX('Full_all'!$E:$E,Summary_entry!$B$2),3)))</f>
        <v/>
      </c>
      <c r="L3" s="5">
        <f>IF(Summary_entry!$B$2&lt;2,"NOT RUN",IF(C3=0,"NO VALID VALUES",K3-J3))</f>
        <v/>
      </c>
      <c r="M3" s="3" t="inlineStr">
        <is>
          <t>Full_all!E2:E[last row from Summary_entry]</t>
        </is>
      </c>
    </row>
    <row r="4">
      <c r="A4" s="2" t="inlineStr">
        <is>
          <t>Full_all</t>
        </is>
      </c>
      <c r="B4" s="2" t="inlineStr">
        <is>
          <t>Kms_Driven</t>
        </is>
      </c>
      <c r="C4" s="4">
        <f>IF(Summary_entry!$B$2&lt;2,"NOT RUN",COUNT('Full_all'!$F$2:INDEX('Full_all'!$F:$F,Summary_entry!$B$2)))</f>
        <v/>
      </c>
      <c r="D4" s="4">
        <f>IF(Summary_entry!$B$2&lt;2,"NOT RUN",IF(C4=0,"NO VALID VALUES",AVERAGE('Full_all'!$F$2:INDEX('Full_all'!$F:$F,Summary_entry!$B$2))))</f>
        <v/>
      </c>
      <c r="E4" s="4">
        <f>IF(Summary_entry!$B$2&lt;2,"NOT RUN",IF(C4=0,"NO VALID VALUES",MEDIAN('Full_all'!$F$2:INDEX('Full_all'!$F:$F,Summary_entry!$B$2))))</f>
        <v/>
      </c>
      <c r="F4" s="4">
        <f>IF(Summary_entry!$B$2&lt;2,"NOT RUN",IF(C4=0,"NO VALID VALUES",_xlfn.IFNA(_xlfn.MODE.SNGL('Full_all'!$F$2:INDEX('Full_all'!$F:$F,Summary_entry!$B$2)),"No mode — all values unique")))</f>
        <v/>
      </c>
      <c r="G4" s="4">
        <f>IF(Summary_entry!$B$2&lt;2,"NOT RUN",IF(C4&lt;2,"INSUFFICIENT N",_xlfn.STDEV.S('Full_all'!$F$2:INDEX('Full_all'!$F:$F,Summary_entry!$B$2))))</f>
        <v/>
      </c>
      <c r="H4" s="4">
        <f>IF(Summary_entry!$B$2&lt;2,"NOT RUN",IF(C4=0,"NO VALID VALUES",MIN('Full_all'!$F$2:INDEX('Full_all'!$F:$F,Summary_entry!$B$2))))</f>
        <v/>
      </c>
      <c r="I4" s="4">
        <f>IF(Summary_entry!$B$2&lt;2,"NOT RUN",IF(C4=0,"NO VALID VALUES",MAX('Full_all'!$F$2:INDEX('Full_all'!$F:$F,Summary_entry!$B$2))))</f>
        <v/>
      </c>
      <c r="J4" s="4">
        <f>IF(Summary_entry!$B$2&lt;2,"NOT RUN",IF(C4=0,"NO VALID VALUES",_xlfn.QUARTILE.INC('Full_all'!$F$2:INDEX('Full_all'!$F:$F,Summary_entry!$B$2),1)))</f>
        <v/>
      </c>
      <c r="K4" s="4">
        <f>IF(Summary_entry!$B$2&lt;2,"NOT RUN",IF(C4=0,"NO VALID VALUES",_xlfn.QUARTILE.INC('Full_all'!$F$2:INDEX('Full_all'!$F:$F,Summary_entry!$B$2),3)))</f>
        <v/>
      </c>
      <c r="L4" s="4">
        <f>IF(Summary_entry!$B$2&lt;2,"NOT RUN",IF(C4=0,"NO VALID VALUES",K4-J4))</f>
        <v/>
      </c>
      <c r="M4" s="2" t="inlineStr">
        <is>
          <t>Full_all!F2:F[last row from Summary_entry]</t>
        </is>
      </c>
    </row>
    <row r="5">
      <c r="A5" s="3" t="inlineStr">
        <is>
          <t>Full_luxury</t>
        </is>
      </c>
      <c r="B5" s="3" t="inlineStr">
        <is>
          <t>Car_Price</t>
        </is>
      </c>
      <c r="C5" s="5">
        <f>IF(Summary_entry!$B$3&lt;2,"NOT RUN",COUNT('Full_luxury'!$D$2:INDEX('Full_luxury'!$D:$D,Summary_entry!$B$3)))</f>
        <v/>
      </c>
      <c r="D5" s="5">
        <f>IF(Summary_entry!$B$3&lt;2,"NOT RUN",IF(C5=0,"NO VALID VALUES",AVERAGE('Full_luxury'!$D$2:INDEX('Full_luxury'!$D:$D,Summary_entry!$B$3))))</f>
        <v/>
      </c>
      <c r="E5" s="5">
        <f>IF(Summary_entry!$B$3&lt;2,"NOT RUN",IF(C5=0,"NO VALID VALUES",MEDIAN('Full_luxury'!$D$2:INDEX('Full_luxury'!$D:$D,Summary_entry!$B$3))))</f>
        <v/>
      </c>
      <c r="F5" s="5">
        <f>IF(Summary_entry!$B$3&lt;2,"NOT RUN",IF(C5=0,"NO VALID VALUES",_xlfn.IFNA(_xlfn.MODE.SNGL('Full_luxury'!$D$2:INDEX('Full_luxury'!$D:$D,Summary_entry!$B$3)),"No mode — all values unique")))</f>
        <v/>
      </c>
      <c r="G5" s="5">
        <f>IF(Summary_entry!$B$3&lt;2,"NOT RUN",IF(C5&lt;2,"INSUFFICIENT N",_xlfn.STDEV.S('Full_luxury'!$D$2:INDEX('Full_luxury'!$D:$D,Summary_entry!$B$3))))</f>
        <v/>
      </c>
      <c r="H5" s="5">
        <f>IF(Summary_entry!$B$3&lt;2,"NOT RUN",IF(C5=0,"NO VALID VALUES",MIN('Full_luxury'!$D$2:INDEX('Full_luxury'!$D:$D,Summary_entry!$B$3))))</f>
        <v/>
      </c>
      <c r="I5" s="5">
        <f>IF(Summary_entry!$B$3&lt;2,"NOT RUN",IF(C5=0,"NO VALID VALUES",MAX('Full_luxury'!$D$2:INDEX('Full_luxury'!$D:$D,Summary_entry!$B$3))))</f>
        <v/>
      </c>
      <c r="J5" s="5">
        <f>IF(Summary_entry!$B$3&lt;2,"NOT RUN",IF(C5=0,"NO VALID VALUES",_xlfn.QUARTILE.INC('Full_luxury'!$D$2:INDEX('Full_luxury'!$D:$D,Summary_entry!$B$3),1)))</f>
        <v/>
      </c>
      <c r="K5" s="5">
        <f>IF(Summary_entry!$B$3&lt;2,"NOT RUN",IF(C5=0,"NO VALID VALUES",_xlfn.QUARTILE.INC('Full_luxury'!$D$2:INDEX('Full_luxury'!$D:$D,Summary_entry!$B$3),3)))</f>
        <v/>
      </c>
      <c r="L5" s="5">
        <f>IF(Summary_entry!$B$3&lt;2,"NOT RUN",IF(C5=0,"NO VALID VALUES",K5-J5))</f>
        <v/>
      </c>
      <c r="M5" s="3" t="inlineStr">
        <is>
          <t>Full_luxury!D2:D[last row from Summary_entry]</t>
        </is>
      </c>
    </row>
    <row r="6">
      <c r="A6" s="2" t="inlineStr">
        <is>
          <t>Full_luxury</t>
        </is>
      </c>
      <c r="B6" s="2" t="inlineStr">
        <is>
          <t>Registration_Age</t>
        </is>
      </c>
      <c r="C6" s="4">
        <f>IF(Summary_entry!$B$3&lt;2,"NOT RUN",COUNT('Full_luxury'!$E$2:INDEX('Full_luxury'!$E:$E,Summary_entry!$B$3)))</f>
        <v/>
      </c>
      <c r="D6" s="4">
        <f>IF(Summary_entry!$B$3&lt;2,"NOT RUN",IF(C6=0,"NO VALID VALUES",AVERAGE('Full_luxury'!$E$2:INDEX('Full_luxury'!$E:$E,Summary_entry!$B$3))))</f>
        <v/>
      </c>
      <c r="E6" s="4">
        <f>IF(Summary_entry!$B$3&lt;2,"NOT RUN",IF(C6=0,"NO VALID VALUES",MEDIAN('Full_luxury'!$E$2:INDEX('Full_luxury'!$E:$E,Summary_entry!$B$3))))</f>
        <v/>
      </c>
      <c r="F6" s="4">
        <f>IF(Summary_entry!$B$3&lt;2,"NOT RUN",IF(C6=0,"NO VALID VALUES",_xlfn.IFNA(_xlfn.MODE.SNGL('Full_luxury'!$E$2:INDEX('Full_luxury'!$E:$E,Summary_entry!$B$3)),"No mode — all values unique")))</f>
        <v/>
      </c>
      <c r="G6" s="4">
        <f>IF(Summary_entry!$B$3&lt;2,"NOT RUN",IF(C6&lt;2,"INSUFFICIENT N",_xlfn.STDEV.S('Full_luxury'!$E$2:INDEX('Full_luxury'!$E:$E,Summary_entry!$B$3))))</f>
        <v/>
      </c>
      <c r="H6" s="4">
        <f>IF(Summary_entry!$B$3&lt;2,"NOT RUN",IF(C6=0,"NO VALID VALUES",MIN('Full_luxury'!$E$2:INDEX('Full_luxury'!$E:$E,Summary_entry!$B$3))))</f>
        <v/>
      </c>
      <c r="I6" s="4">
        <f>IF(Summary_entry!$B$3&lt;2,"NOT RUN",IF(C6=0,"NO VALID VALUES",MAX('Full_luxury'!$E$2:INDEX('Full_luxury'!$E:$E,Summary_entry!$B$3))))</f>
        <v/>
      </c>
      <c r="J6" s="4">
        <f>IF(Summary_entry!$B$3&lt;2,"NOT RUN",IF(C6=0,"NO VALID VALUES",_xlfn.QUARTILE.INC('Full_luxury'!$E$2:INDEX('Full_luxury'!$E:$E,Summary_entry!$B$3),1)))</f>
        <v/>
      </c>
      <c r="K6" s="4">
        <f>IF(Summary_entry!$B$3&lt;2,"NOT RUN",IF(C6=0,"NO VALID VALUES",_xlfn.QUARTILE.INC('Full_luxury'!$E$2:INDEX('Full_luxury'!$E:$E,Summary_entry!$B$3),3)))</f>
        <v/>
      </c>
      <c r="L6" s="4">
        <f>IF(Summary_entry!$B$3&lt;2,"NOT RUN",IF(C6=0,"NO VALID VALUES",K6-J6))</f>
        <v/>
      </c>
      <c r="M6" s="2" t="inlineStr">
        <is>
          <t>Full_luxury!E2:E[last row from Summary_entry]</t>
        </is>
      </c>
    </row>
    <row r="7">
      <c r="A7" s="3" t="inlineStr">
        <is>
          <t>Full_luxury</t>
        </is>
      </c>
      <c r="B7" s="3" t="inlineStr">
        <is>
          <t>Kms_Driven</t>
        </is>
      </c>
      <c r="C7" s="5">
        <f>IF(Summary_entry!$B$3&lt;2,"NOT RUN",COUNT('Full_luxury'!$F$2:INDEX('Full_luxury'!$F:$F,Summary_entry!$B$3)))</f>
        <v/>
      </c>
      <c r="D7" s="5">
        <f>IF(Summary_entry!$B$3&lt;2,"NOT RUN",IF(C7=0,"NO VALID VALUES",AVERAGE('Full_luxury'!$F$2:INDEX('Full_luxury'!$F:$F,Summary_entry!$B$3))))</f>
        <v/>
      </c>
      <c r="E7" s="5">
        <f>IF(Summary_entry!$B$3&lt;2,"NOT RUN",IF(C7=0,"NO VALID VALUES",MEDIAN('Full_luxury'!$F$2:INDEX('Full_luxury'!$F:$F,Summary_entry!$B$3))))</f>
        <v/>
      </c>
      <c r="F7" s="5">
        <f>IF(Summary_entry!$B$3&lt;2,"NOT RUN",IF(C7=0,"NO VALID VALUES",_xlfn.IFNA(_xlfn.MODE.SNGL('Full_luxury'!$F$2:INDEX('Full_luxury'!$F:$F,Summary_entry!$B$3)),"No mode — all values unique")))</f>
        <v/>
      </c>
      <c r="G7" s="5">
        <f>IF(Summary_entry!$B$3&lt;2,"NOT RUN",IF(C7&lt;2,"INSUFFICIENT N",_xlfn.STDEV.S('Full_luxury'!$F$2:INDEX('Full_luxury'!$F:$F,Summary_entry!$B$3))))</f>
        <v/>
      </c>
      <c r="H7" s="5">
        <f>IF(Summary_entry!$B$3&lt;2,"NOT RUN",IF(C7=0,"NO VALID VALUES",MIN('Full_luxury'!$F$2:INDEX('Full_luxury'!$F:$F,Summary_entry!$B$3))))</f>
        <v/>
      </c>
      <c r="I7" s="5">
        <f>IF(Summary_entry!$B$3&lt;2,"NOT RUN",IF(C7=0,"NO VALID VALUES",MAX('Full_luxury'!$F$2:INDEX('Full_luxury'!$F:$F,Summary_entry!$B$3))))</f>
        <v/>
      </c>
      <c r="J7" s="5">
        <f>IF(Summary_entry!$B$3&lt;2,"NOT RUN",IF(C7=0,"NO VALID VALUES",_xlfn.QUARTILE.INC('Full_luxury'!$F$2:INDEX('Full_luxury'!$F:$F,Summary_entry!$B$3),1)))</f>
        <v/>
      </c>
      <c r="K7" s="5">
        <f>IF(Summary_entry!$B$3&lt;2,"NOT RUN",IF(C7=0,"NO VALID VALUES",_xlfn.QUARTILE.INC('Full_luxury'!$F$2:INDEX('Full_luxury'!$F:$F,Summary_entry!$B$3),3)))</f>
        <v/>
      </c>
      <c r="L7" s="5">
        <f>IF(Summary_entry!$B$3&lt;2,"NOT RUN",IF(C7=0,"NO VALID VALUES",K7-J7))</f>
        <v/>
      </c>
      <c r="M7" s="3" t="inlineStr">
        <is>
          <t>Full_luxury!F2:F[last row from Summary_entry]</t>
        </is>
      </c>
    </row>
    <row r="8">
      <c r="A8" s="2" t="inlineStr">
        <is>
          <t>Full_nonluxury</t>
        </is>
      </c>
      <c r="B8" s="2" t="inlineStr">
        <is>
          <t>Car_Price</t>
        </is>
      </c>
      <c r="C8" s="4">
        <f>IF(Summary_entry!$B$4&lt;2,"NOT RUN",COUNT('Full_nonluxury'!$D$2:INDEX('Full_nonluxury'!$D:$D,Summary_entry!$B$4)))</f>
        <v/>
      </c>
      <c r="D8" s="4">
        <f>IF(Summary_entry!$B$4&lt;2,"NOT RUN",IF(C8=0,"NO VALID VALUES",AVERAGE('Full_nonluxury'!$D$2:INDEX('Full_nonluxury'!$D:$D,Summary_entry!$B$4))))</f>
        <v/>
      </c>
      <c r="E8" s="4">
        <f>IF(Summary_entry!$B$4&lt;2,"NOT RUN",IF(C8=0,"NO VALID VALUES",MEDIAN('Full_nonluxury'!$D$2:INDEX('Full_nonluxury'!$D:$D,Summary_entry!$B$4))))</f>
        <v/>
      </c>
      <c r="F8" s="4">
        <f>IF(Summary_entry!$B$4&lt;2,"NOT RUN",IF(C8=0,"NO VALID VALUES",_xlfn.IFNA(_xlfn.MODE.SNGL('Full_nonluxury'!$D$2:INDEX('Full_nonluxury'!$D:$D,Summary_entry!$B$4)),"No mode — all values unique")))</f>
        <v/>
      </c>
      <c r="G8" s="4">
        <f>IF(Summary_entry!$B$4&lt;2,"NOT RUN",IF(C8&lt;2,"INSUFFICIENT N",_xlfn.STDEV.S('Full_nonluxury'!$D$2:INDEX('Full_nonluxury'!$D:$D,Summary_entry!$B$4))))</f>
        <v/>
      </c>
      <c r="H8" s="4">
        <f>IF(Summary_entry!$B$4&lt;2,"NOT RUN",IF(C8=0,"NO VALID VALUES",MIN('Full_nonluxury'!$D$2:INDEX('Full_nonluxury'!$D:$D,Summary_entry!$B$4))))</f>
        <v/>
      </c>
      <c r="I8" s="4">
        <f>IF(Summary_entry!$B$4&lt;2,"NOT RUN",IF(C8=0,"NO VALID VALUES",MAX('Full_nonluxury'!$D$2:INDEX('Full_nonluxury'!$D:$D,Summary_entry!$B$4))))</f>
        <v/>
      </c>
      <c r="J8" s="4">
        <f>IF(Summary_entry!$B$4&lt;2,"NOT RUN",IF(C8=0,"NO VALID VALUES",_xlfn.QUARTILE.INC('Full_nonluxury'!$D$2:INDEX('Full_nonluxury'!$D:$D,Summary_entry!$B$4),1)))</f>
        <v/>
      </c>
      <c r="K8" s="4">
        <f>IF(Summary_entry!$B$4&lt;2,"NOT RUN",IF(C8=0,"NO VALID VALUES",_xlfn.QUARTILE.INC('Full_nonluxury'!$D$2:INDEX('Full_nonluxury'!$D:$D,Summary_entry!$B$4),3)))</f>
        <v/>
      </c>
      <c r="L8" s="4">
        <f>IF(Summary_entry!$B$4&lt;2,"NOT RUN",IF(C8=0,"NO VALID VALUES",K8-J8))</f>
        <v/>
      </c>
      <c r="M8" s="2" t="inlineStr">
        <is>
          <t>Full_nonluxury!D2:D[last row from Summary_entry]</t>
        </is>
      </c>
    </row>
    <row r="9">
      <c r="A9" s="3" t="inlineStr">
        <is>
          <t>Full_nonluxury</t>
        </is>
      </c>
      <c r="B9" s="3" t="inlineStr">
        <is>
          <t>Registration_Age</t>
        </is>
      </c>
      <c r="C9" s="5">
        <f>IF(Summary_entry!$B$4&lt;2,"NOT RUN",COUNT('Full_nonluxury'!$E$2:INDEX('Full_nonluxury'!$E:$E,Summary_entry!$B$4)))</f>
        <v/>
      </c>
      <c r="D9" s="5">
        <f>IF(Summary_entry!$B$4&lt;2,"NOT RUN",IF(C9=0,"NO VALID VALUES",AVERAGE('Full_nonluxury'!$E$2:INDEX('Full_nonluxury'!$E:$E,Summary_entry!$B$4))))</f>
        <v/>
      </c>
      <c r="E9" s="5">
        <f>IF(Summary_entry!$B$4&lt;2,"NOT RUN",IF(C9=0,"NO VALID VALUES",MEDIAN('Full_nonluxury'!$E$2:INDEX('Full_nonluxury'!$E:$E,Summary_entry!$B$4))))</f>
        <v/>
      </c>
      <c r="F9" s="5">
        <f>IF(Summary_entry!$B$4&lt;2,"NOT RUN",IF(C9=0,"NO VALID VALUES",_xlfn.IFNA(_xlfn.MODE.SNGL('Full_nonluxury'!$E$2:INDEX('Full_nonluxury'!$E:$E,Summary_entry!$B$4)),"No mode — all values unique")))</f>
        <v/>
      </c>
      <c r="G9" s="5">
        <f>IF(Summary_entry!$B$4&lt;2,"NOT RUN",IF(C9&lt;2,"INSUFFICIENT N",_xlfn.STDEV.S('Full_nonluxury'!$E$2:INDEX('Full_nonluxury'!$E:$E,Summary_entry!$B$4))))</f>
        <v/>
      </c>
      <c r="H9" s="5">
        <f>IF(Summary_entry!$B$4&lt;2,"NOT RUN",IF(C9=0,"NO VALID VALUES",MIN('Full_nonluxury'!$E$2:INDEX('Full_nonluxury'!$E:$E,Summary_entry!$B$4))))</f>
        <v/>
      </c>
      <c r="I9" s="5">
        <f>IF(Summary_entry!$B$4&lt;2,"NOT RUN",IF(C9=0,"NO VALID VALUES",MAX('Full_nonluxury'!$E$2:INDEX('Full_nonluxury'!$E:$E,Summary_entry!$B$4))))</f>
        <v/>
      </c>
      <c r="J9" s="5">
        <f>IF(Summary_entry!$B$4&lt;2,"NOT RUN",IF(C9=0,"NO VALID VALUES",_xlfn.QUARTILE.INC('Full_nonluxury'!$E$2:INDEX('Full_nonluxury'!$E:$E,Summary_entry!$B$4),1)))</f>
        <v/>
      </c>
      <c r="K9" s="5">
        <f>IF(Summary_entry!$B$4&lt;2,"NOT RUN",IF(C9=0,"NO VALID VALUES",_xlfn.QUARTILE.INC('Full_nonluxury'!$E$2:INDEX('Full_nonluxury'!$E:$E,Summary_entry!$B$4),3)))</f>
        <v/>
      </c>
      <c r="L9" s="5">
        <f>IF(Summary_entry!$B$4&lt;2,"NOT RUN",IF(C9=0,"NO VALID VALUES",K9-J9))</f>
        <v/>
      </c>
      <c r="M9" s="3" t="inlineStr">
        <is>
          <t>Full_nonluxury!E2:E[last row from Summary_entry]</t>
        </is>
      </c>
    </row>
    <row r="10">
      <c r="A10" s="2" t="inlineStr">
        <is>
          <t>Full_nonluxury</t>
        </is>
      </c>
      <c r="B10" s="2" t="inlineStr">
        <is>
          <t>Kms_Driven</t>
        </is>
      </c>
      <c r="C10" s="4">
        <f>IF(Summary_entry!$B$4&lt;2,"NOT RUN",COUNT('Full_nonluxury'!$F$2:INDEX('Full_nonluxury'!$F:$F,Summary_entry!$B$4)))</f>
        <v/>
      </c>
      <c r="D10" s="4">
        <f>IF(Summary_entry!$B$4&lt;2,"NOT RUN",IF(C10=0,"NO VALID VALUES",AVERAGE('Full_nonluxury'!$F$2:INDEX('Full_nonluxury'!$F:$F,Summary_entry!$B$4))))</f>
        <v/>
      </c>
      <c r="E10" s="4">
        <f>IF(Summary_entry!$B$4&lt;2,"NOT RUN",IF(C10=0,"NO VALID VALUES",MEDIAN('Full_nonluxury'!$F$2:INDEX('Full_nonluxury'!$F:$F,Summary_entry!$B$4))))</f>
        <v/>
      </c>
      <c r="F10" s="4">
        <f>IF(Summary_entry!$B$4&lt;2,"NOT RUN",IF(C10=0,"NO VALID VALUES",_xlfn.IFNA(_xlfn.MODE.SNGL('Full_nonluxury'!$F$2:INDEX('Full_nonluxury'!$F:$F,Summary_entry!$B$4)),"No mode — all values unique")))</f>
        <v/>
      </c>
      <c r="G10" s="4">
        <f>IF(Summary_entry!$B$4&lt;2,"NOT RUN",IF(C10&lt;2,"INSUFFICIENT N",_xlfn.STDEV.S('Full_nonluxury'!$F$2:INDEX('Full_nonluxury'!$F:$F,Summary_entry!$B$4))))</f>
        <v/>
      </c>
      <c r="H10" s="4">
        <f>IF(Summary_entry!$B$4&lt;2,"NOT RUN",IF(C10=0,"NO VALID VALUES",MIN('Full_nonluxury'!$F$2:INDEX('Full_nonluxury'!$F:$F,Summary_entry!$B$4))))</f>
        <v/>
      </c>
      <c r="I10" s="4">
        <f>IF(Summary_entry!$B$4&lt;2,"NOT RUN",IF(C10=0,"NO VALID VALUES",MAX('Full_nonluxury'!$F$2:INDEX('Full_nonluxury'!$F:$F,Summary_entry!$B$4))))</f>
        <v/>
      </c>
      <c r="J10" s="4">
        <f>IF(Summary_entry!$B$4&lt;2,"NOT RUN",IF(C10=0,"NO VALID VALUES",_xlfn.QUARTILE.INC('Full_nonluxury'!$F$2:INDEX('Full_nonluxury'!$F:$F,Summary_entry!$B$4),1)))</f>
        <v/>
      </c>
      <c r="K10" s="4">
        <f>IF(Summary_entry!$B$4&lt;2,"NOT RUN",IF(C10=0,"NO VALID VALUES",_xlfn.QUARTILE.INC('Full_nonluxury'!$F$2:INDEX('Full_nonluxury'!$F:$F,Summary_entry!$B$4),3)))</f>
        <v/>
      </c>
      <c r="L10" s="4">
        <f>IF(Summary_entry!$B$4&lt;2,"NOT RUN",IF(C10=0,"NO VALID VALUES",K10-J10))</f>
        <v/>
      </c>
      <c r="M10" s="2" t="inlineStr">
        <is>
          <t>Full_nonluxury!F2:F[last row from Summary_entry]</t>
        </is>
      </c>
    </row>
    <row r="11">
      <c r="A11" s="3" t="inlineStr">
        <is>
          <t>Screen_all</t>
        </is>
      </c>
      <c r="B11" s="3" t="inlineStr">
        <is>
          <t>Car_Price</t>
        </is>
      </c>
      <c r="C11" s="5">
        <f>IF(Summary_entry!$B$5&lt;2,"NOT RUN",COUNT('Screen_all'!$D$2:INDEX('Screen_all'!$D:$D,Summary_entry!$B$5)))</f>
        <v/>
      </c>
      <c r="D11" s="5">
        <f>IF(Summary_entry!$B$5&lt;2,"NOT RUN",IF(C11=0,"NO VALID VALUES",AVERAGE('Screen_all'!$D$2:INDEX('Screen_all'!$D:$D,Summary_entry!$B$5))))</f>
        <v/>
      </c>
      <c r="E11" s="5">
        <f>IF(Summary_entry!$B$5&lt;2,"NOT RUN",IF(C11=0,"NO VALID VALUES",MEDIAN('Screen_all'!$D$2:INDEX('Screen_all'!$D:$D,Summary_entry!$B$5))))</f>
        <v/>
      </c>
      <c r="F11" s="5">
        <f>IF(Summary_entry!$B$5&lt;2,"NOT RUN",IF(C11=0,"NO VALID VALUES",_xlfn.IFNA(_xlfn.MODE.SNGL('Screen_all'!$D$2:INDEX('Screen_all'!$D:$D,Summary_entry!$B$5)),"No mode — all values unique")))</f>
        <v/>
      </c>
      <c r="G11" s="5">
        <f>IF(Summary_entry!$B$5&lt;2,"NOT RUN",IF(C11&lt;2,"INSUFFICIENT N",_xlfn.STDEV.S('Screen_all'!$D$2:INDEX('Screen_all'!$D:$D,Summary_entry!$B$5))))</f>
        <v/>
      </c>
      <c r="H11" s="5">
        <f>IF(Summary_entry!$B$5&lt;2,"NOT RUN",IF(C11=0,"NO VALID VALUES",MIN('Screen_all'!$D$2:INDEX('Screen_all'!$D:$D,Summary_entry!$B$5))))</f>
        <v/>
      </c>
      <c r="I11" s="5">
        <f>IF(Summary_entry!$B$5&lt;2,"NOT RUN",IF(C11=0,"NO VALID VALUES",MAX('Screen_all'!$D$2:INDEX('Screen_all'!$D:$D,Summary_entry!$B$5))))</f>
        <v/>
      </c>
      <c r="J11" s="5">
        <f>IF(Summary_entry!$B$5&lt;2,"NOT RUN",IF(C11=0,"NO VALID VALUES",_xlfn.QUARTILE.INC('Screen_all'!$D$2:INDEX('Screen_all'!$D:$D,Summary_entry!$B$5),1)))</f>
        <v/>
      </c>
      <c r="K11" s="5">
        <f>IF(Summary_entry!$B$5&lt;2,"NOT RUN",IF(C11=0,"NO VALID VALUES",_xlfn.QUARTILE.INC('Screen_all'!$D$2:INDEX('Screen_all'!$D:$D,Summary_entry!$B$5),3)))</f>
        <v/>
      </c>
      <c r="L11" s="5">
        <f>IF(Summary_entry!$B$5&lt;2,"NOT RUN",IF(C11=0,"NO VALID VALUES",K11-J11))</f>
        <v/>
      </c>
      <c r="M11" s="3" t="inlineStr">
        <is>
          <t>Screen_all!D2:D[last row from Summary_entry]</t>
        </is>
      </c>
    </row>
    <row r="12">
      <c r="A12" s="2" t="inlineStr">
        <is>
          <t>Screen_all</t>
        </is>
      </c>
      <c r="B12" s="2" t="inlineStr">
        <is>
          <t>Registration_Age</t>
        </is>
      </c>
      <c r="C12" s="4">
        <f>IF(Summary_entry!$B$5&lt;2,"NOT RUN",COUNT('Screen_all'!$E$2:INDEX('Screen_all'!$E:$E,Summary_entry!$B$5)))</f>
        <v/>
      </c>
      <c r="D12" s="4">
        <f>IF(Summary_entry!$B$5&lt;2,"NOT RUN",IF(C12=0,"NO VALID VALUES",AVERAGE('Screen_all'!$E$2:INDEX('Screen_all'!$E:$E,Summary_entry!$B$5))))</f>
        <v/>
      </c>
      <c r="E12" s="4">
        <f>IF(Summary_entry!$B$5&lt;2,"NOT RUN",IF(C12=0,"NO VALID VALUES",MEDIAN('Screen_all'!$E$2:INDEX('Screen_all'!$E:$E,Summary_entry!$B$5))))</f>
        <v/>
      </c>
      <c r="F12" s="4">
        <f>IF(Summary_entry!$B$5&lt;2,"NOT RUN",IF(C12=0,"NO VALID VALUES",_xlfn.IFNA(_xlfn.MODE.SNGL('Screen_all'!$E$2:INDEX('Screen_all'!$E:$E,Summary_entry!$B$5)),"No mode — all values unique")))</f>
        <v/>
      </c>
      <c r="G12" s="4">
        <f>IF(Summary_entry!$B$5&lt;2,"NOT RUN",IF(C12&lt;2,"INSUFFICIENT N",_xlfn.STDEV.S('Screen_all'!$E$2:INDEX('Screen_all'!$E:$E,Summary_entry!$B$5))))</f>
        <v/>
      </c>
      <c r="H12" s="4">
        <f>IF(Summary_entry!$B$5&lt;2,"NOT RUN",IF(C12=0,"NO VALID VALUES",MIN('Screen_all'!$E$2:INDEX('Screen_all'!$E:$E,Summary_entry!$B$5))))</f>
        <v/>
      </c>
      <c r="I12" s="4">
        <f>IF(Summary_entry!$B$5&lt;2,"NOT RUN",IF(C12=0,"NO VALID VALUES",MAX('Screen_all'!$E$2:INDEX('Screen_all'!$E:$E,Summary_entry!$B$5))))</f>
        <v/>
      </c>
      <c r="J12" s="4">
        <f>IF(Summary_entry!$B$5&lt;2,"NOT RUN",IF(C12=0,"NO VALID VALUES",_xlfn.QUARTILE.INC('Screen_all'!$E$2:INDEX('Screen_all'!$E:$E,Summary_entry!$B$5),1)))</f>
        <v/>
      </c>
      <c r="K12" s="4">
        <f>IF(Summary_entry!$B$5&lt;2,"NOT RUN",IF(C12=0,"NO VALID VALUES",_xlfn.QUARTILE.INC('Screen_all'!$E$2:INDEX('Screen_all'!$E:$E,Summary_entry!$B$5),3)))</f>
        <v/>
      </c>
      <c r="L12" s="4">
        <f>IF(Summary_entry!$B$5&lt;2,"NOT RUN",IF(C12=0,"NO VALID VALUES",K12-J12))</f>
        <v/>
      </c>
      <c r="M12" s="2" t="inlineStr">
        <is>
          <t>Screen_all!E2:E[last row from Summary_entry]</t>
        </is>
      </c>
    </row>
    <row r="13">
      <c r="A13" s="3" t="inlineStr">
        <is>
          <t>Screen_all</t>
        </is>
      </c>
      <c r="B13" s="3" t="inlineStr">
        <is>
          <t>Kms_Driven</t>
        </is>
      </c>
      <c r="C13" s="5">
        <f>IF(Summary_entry!$B$5&lt;2,"NOT RUN",COUNT('Screen_all'!$F$2:INDEX('Screen_all'!$F:$F,Summary_entry!$B$5)))</f>
        <v/>
      </c>
      <c r="D13" s="5">
        <f>IF(Summary_entry!$B$5&lt;2,"NOT RUN",IF(C13=0,"NO VALID VALUES",AVERAGE('Screen_all'!$F$2:INDEX('Screen_all'!$F:$F,Summary_entry!$B$5))))</f>
        <v/>
      </c>
      <c r="E13" s="5">
        <f>IF(Summary_entry!$B$5&lt;2,"NOT RUN",IF(C13=0,"NO VALID VALUES",MEDIAN('Screen_all'!$F$2:INDEX('Screen_all'!$F:$F,Summary_entry!$B$5))))</f>
        <v/>
      </c>
      <c r="F13" s="5">
        <f>IF(Summary_entry!$B$5&lt;2,"NOT RUN",IF(C13=0,"NO VALID VALUES",_xlfn.IFNA(_xlfn.MODE.SNGL('Screen_all'!$F$2:INDEX('Screen_all'!$F:$F,Summary_entry!$B$5)),"No mode — all values unique")))</f>
        <v/>
      </c>
      <c r="G13" s="5">
        <f>IF(Summary_entry!$B$5&lt;2,"NOT RUN",IF(C13&lt;2,"INSUFFICIENT N",_xlfn.STDEV.S('Screen_all'!$F$2:INDEX('Screen_all'!$F:$F,Summary_entry!$B$5))))</f>
        <v/>
      </c>
      <c r="H13" s="5">
        <f>IF(Summary_entry!$B$5&lt;2,"NOT RUN",IF(C13=0,"NO VALID VALUES",MIN('Screen_all'!$F$2:INDEX('Screen_all'!$F:$F,Summary_entry!$B$5))))</f>
        <v/>
      </c>
      <c r="I13" s="5">
        <f>IF(Summary_entry!$B$5&lt;2,"NOT RUN",IF(C13=0,"NO VALID VALUES",MAX('Screen_all'!$F$2:INDEX('Screen_all'!$F:$F,Summary_entry!$B$5))))</f>
        <v/>
      </c>
      <c r="J13" s="5">
        <f>IF(Summary_entry!$B$5&lt;2,"NOT RUN",IF(C13=0,"NO VALID VALUES",_xlfn.QUARTILE.INC('Screen_all'!$F$2:INDEX('Screen_all'!$F:$F,Summary_entry!$B$5),1)))</f>
        <v/>
      </c>
      <c r="K13" s="5">
        <f>IF(Summary_entry!$B$5&lt;2,"NOT RUN",IF(C13=0,"NO VALID VALUES",_xlfn.QUARTILE.INC('Screen_all'!$F$2:INDEX('Screen_all'!$F:$F,Summary_entry!$B$5),3)))</f>
        <v/>
      </c>
      <c r="L13" s="5">
        <f>IF(Summary_entry!$B$5&lt;2,"NOT RUN",IF(C13=0,"NO VALID VALUES",K13-J13))</f>
        <v/>
      </c>
      <c r="M13" s="3" t="inlineStr">
        <is>
          <t>Screen_all!F2:F[last row from Summary_entry]</t>
        </is>
      </c>
    </row>
    <row r="14">
      <c r="A14" s="2" t="inlineStr">
        <is>
          <t>Screen_luxury</t>
        </is>
      </c>
      <c r="B14" s="2" t="inlineStr">
        <is>
          <t>Car_Price</t>
        </is>
      </c>
      <c r="C14" s="4">
        <f>IF(Summary_entry!$B$6&lt;2,"NOT RUN",COUNT('Screen_luxury'!$D$2:INDEX('Screen_luxury'!$D:$D,Summary_entry!$B$6)))</f>
        <v/>
      </c>
      <c r="D14" s="4">
        <f>IF(Summary_entry!$B$6&lt;2,"NOT RUN",IF(C14=0,"NO VALID VALUES",AVERAGE('Screen_luxury'!$D$2:INDEX('Screen_luxury'!$D:$D,Summary_entry!$B$6))))</f>
        <v/>
      </c>
      <c r="E14" s="4">
        <f>IF(Summary_entry!$B$6&lt;2,"NOT RUN",IF(C14=0,"NO VALID VALUES",MEDIAN('Screen_luxury'!$D$2:INDEX('Screen_luxury'!$D:$D,Summary_entry!$B$6))))</f>
        <v/>
      </c>
      <c r="F14" s="4">
        <f>IF(Summary_entry!$B$6&lt;2,"NOT RUN",IF(C14=0,"NO VALID VALUES",_xlfn.IFNA(_xlfn.MODE.SNGL('Screen_luxury'!$D$2:INDEX('Screen_luxury'!$D:$D,Summary_entry!$B$6)),"No mode — all values unique")))</f>
        <v/>
      </c>
      <c r="G14" s="4">
        <f>IF(Summary_entry!$B$6&lt;2,"NOT RUN",IF(C14&lt;2,"INSUFFICIENT N",_xlfn.STDEV.S('Screen_luxury'!$D$2:INDEX('Screen_luxury'!$D:$D,Summary_entry!$B$6))))</f>
        <v/>
      </c>
      <c r="H14" s="4">
        <f>IF(Summary_entry!$B$6&lt;2,"NOT RUN",IF(C14=0,"NO VALID VALUES",MIN('Screen_luxury'!$D$2:INDEX('Screen_luxury'!$D:$D,Summary_entry!$B$6))))</f>
        <v/>
      </c>
      <c r="I14" s="4">
        <f>IF(Summary_entry!$B$6&lt;2,"NOT RUN",IF(C14=0,"NO VALID VALUES",MAX('Screen_luxury'!$D$2:INDEX('Screen_luxury'!$D:$D,Summary_entry!$B$6))))</f>
        <v/>
      </c>
      <c r="J14" s="4">
        <f>IF(Summary_entry!$B$6&lt;2,"NOT RUN",IF(C14=0,"NO VALID VALUES",_xlfn.QUARTILE.INC('Screen_luxury'!$D$2:INDEX('Screen_luxury'!$D:$D,Summary_entry!$B$6),1)))</f>
        <v/>
      </c>
      <c r="K14" s="4">
        <f>IF(Summary_entry!$B$6&lt;2,"NOT RUN",IF(C14=0,"NO VALID VALUES",_xlfn.QUARTILE.INC('Screen_luxury'!$D$2:INDEX('Screen_luxury'!$D:$D,Summary_entry!$B$6),3)))</f>
        <v/>
      </c>
      <c r="L14" s="4">
        <f>IF(Summary_entry!$B$6&lt;2,"NOT RUN",IF(C14=0,"NO VALID VALUES",K14-J14))</f>
        <v/>
      </c>
      <c r="M14" s="2" t="inlineStr">
        <is>
          <t>Screen_luxury!D2:D[last row from Summary_entry]</t>
        </is>
      </c>
    </row>
    <row r="15">
      <c r="A15" s="3" t="inlineStr">
        <is>
          <t>Screen_luxury</t>
        </is>
      </c>
      <c r="B15" s="3" t="inlineStr">
        <is>
          <t>Registration_Age</t>
        </is>
      </c>
      <c r="C15" s="5">
        <f>IF(Summary_entry!$B$6&lt;2,"NOT RUN",COUNT('Screen_luxury'!$E$2:INDEX('Screen_luxury'!$E:$E,Summary_entry!$B$6)))</f>
        <v/>
      </c>
      <c r="D15" s="5">
        <f>IF(Summary_entry!$B$6&lt;2,"NOT RUN",IF(C15=0,"NO VALID VALUES",AVERAGE('Screen_luxury'!$E$2:INDEX('Screen_luxury'!$E:$E,Summary_entry!$B$6))))</f>
        <v/>
      </c>
      <c r="E15" s="5">
        <f>IF(Summary_entry!$B$6&lt;2,"NOT RUN",IF(C15=0,"NO VALID VALUES",MEDIAN('Screen_luxury'!$E$2:INDEX('Screen_luxury'!$E:$E,Summary_entry!$B$6))))</f>
        <v/>
      </c>
      <c r="F15" s="5">
        <f>IF(Summary_entry!$B$6&lt;2,"NOT RUN",IF(C15=0,"NO VALID VALUES",_xlfn.IFNA(_xlfn.MODE.SNGL('Screen_luxury'!$E$2:INDEX('Screen_luxury'!$E:$E,Summary_entry!$B$6)),"No mode — all values unique")))</f>
        <v/>
      </c>
      <c r="G15" s="5">
        <f>IF(Summary_entry!$B$6&lt;2,"NOT RUN",IF(C15&lt;2,"INSUFFICIENT N",_xlfn.STDEV.S('Screen_luxury'!$E$2:INDEX('Screen_luxury'!$E:$E,Summary_entry!$B$6))))</f>
        <v/>
      </c>
      <c r="H15" s="5">
        <f>IF(Summary_entry!$B$6&lt;2,"NOT RUN",IF(C15=0,"NO VALID VALUES",MIN('Screen_luxury'!$E$2:INDEX('Screen_luxury'!$E:$E,Summary_entry!$B$6))))</f>
        <v/>
      </c>
      <c r="I15" s="5">
        <f>IF(Summary_entry!$B$6&lt;2,"NOT RUN",IF(C15=0,"NO VALID VALUES",MAX('Screen_luxury'!$E$2:INDEX('Screen_luxury'!$E:$E,Summary_entry!$B$6))))</f>
        <v/>
      </c>
      <c r="J15" s="5">
        <f>IF(Summary_entry!$B$6&lt;2,"NOT RUN",IF(C15=0,"NO VALID VALUES",_xlfn.QUARTILE.INC('Screen_luxury'!$E$2:INDEX('Screen_luxury'!$E:$E,Summary_entry!$B$6),1)))</f>
        <v/>
      </c>
      <c r="K15" s="5">
        <f>IF(Summary_entry!$B$6&lt;2,"NOT RUN",IF(C15=0,"NO VALID VALUES",_xlfn.QUARTILE.INC('Screen_luxury'!$E$2:INDEX('Screen_luxury'!$E:$E,Summary_entry!$B$6),3)))</f>
        <v/>
      </c>
      <c r="L15" s="5">
        <f>IF(Summary_entry!$B$6&lt;2,"NOT RUN",IF(C15=0,"NO VALID VALUES",K15-J15))</f>
        <v/>
      </c>
      <c r="M15" s="3" t="inlineStr">
        <is>
          <t>Screen_luxury!E2:E[last row from Summary_entry]</t>
        </is>
      </c>
    </row>
    <row r="16">
      <c r="A16" s="2" t="inlineStr">
        <is>
          <t>Screen_luxury</t>
        </is>
      </c>
      <c r="B16" s="2" t="inlineStr">
        <is>
          <t>Kms_Driven</t>
        </is>
      </c>
      <c r="C16" s="4">
        <f>IF(Summary_entry!$B$6&lt;2,"NOT RUN",COUNT('Screen_luxury'!$F$2:INDEX('Screen_luxury'!$F:$F,Summary_entry!$B$6)))</f>
        <v/>
      </c>
      <c r="D16" s="4">
        <f>IF(Summary_entry!$B$6&lt;2,"NOT RUN",IF(C16=0,"NO VALID VALUES",AVERAGE('Screen_luxury'!$F$2:INDEX('Screen_luxury'!$F:$F,Summary_entry!$B$6))))</f>
        <v/>
      </c>
      <c r="E16" s="4">
        <f>IF(Summary_entry!$B$6&lt;2,"NOT RUN",IF(C16=0,"NO VALID VALUES",MEDIAN('Screen_luxury'!$F$2:INDEX('Screen_luxury'!$F:$F,Summary_entry!$B$6))))</f>
        <v/>
      </c>
      <c r="F16" s="4">
        <f>IF(Summary_entry!$B$6&lt;2,"NOT RUN",IF(C16=0,"NO VALID VALUES",_xlfn.IFNA(_xlfn.MODE.SNGL('Screen_luxury'!$F$2:INDEX('Screen_luxury'!$F:$F,Summary_entry!$B$6)),"No mode — all values unique")))</f>
        <v/>
      </c>
      <c r="G16" s="4">
        <f>IF(Summary_entry!$B$6&lt;2,"NOT RUN",IF(C16&lt;2,"INSUFFICIENT N",_xlfn.STDEV.S('Screen_luxury'!$F$2:INDEX('Screen_luxury'!$F:$F,Summary_entry!$B$6))))</f>
        <v/>
      </c>
      <c r="H16" s="4">
        <f>IF(Summary_entry!$B$6&lt;2,"NOT RUN",IF(C16=0,"NO VALID VALUES",MIN('Screen_luxury'!$F$2:INDEX('Screen_luxury'!$F:$F,Summary_entry!$B$6))))</f>
        <v/>
      </c>
      <c r="I16" s="4">
        <f>IF(Summary_entry!$B$6&lt;2,"NOT RUN",IF(C16=0,"NO VALID VALUES",MAX('Screen_luxury'!$F$2:INDEX('Screen_luxury'!$F:$F,Summary_entry!$B$6))))</f>
        <v/>
      </c>
      <c r="J16" s="4">
        <f>IF(Summary_entry!$B$6&lt;2,"NOT RUN",IF(C16=0,"NO VALID VALUES",_xlfn.QUARTILE.INC('Screen_luxury'!$F$2:INDEX('Screen_luxury'!$F:$F,Summary_entry!$B$6),1)))</f>
        <v/>
      </c>
      <c r="K16" s="4">
        <f>IF(Summary_entry!$B$6&lt;2,"NOT RUN",IF(C16=0,"NO VALID VALUES",_xlfn.QUARTILE.INC('Screen_luxury'!$F$2:INDEX('Screen_luxury'!$F:$F,Summary_entry!$B$6),3)))</f>
        <v/>
      </c>
      <c r="L16" s="4">
        <f>IF(Summary_entry!$B$6&lt;2,"NOT RUN",IF(C16=0,"NO VALID VALUES",K16-J16))</f>
        <v/>
      </c>
      <c r="M16" s="2" t="inlineStr">
        <is>
          <t>Screen_luxury!F2:F[last row from Summary_entry]</t>
        </is>
      </c>
    </row>
    <row r="17">
      <c r="A17" s="3" t="inlineStr">
        <is>
          <t>Screen_nonluxury</t>
        </is>
      </c>
      <c r="B17" s="3" t="inlineStr">
        <is>
          <t>Car_Price</t>
        </is>
      </c>
      <c r="C17" s="5">
        <f>IF(Summary_entry!$B$7&lt;2,"NOT RUN",COUNT('Screen_nonluxury'!$D$2:INDEX('Screen_nonluxury'!$D:$D,Summary_entry!$B$7)))</f>
        <v/>
      </c>
      <c r="D17" s="5">
        <f>IF(Summary_entry!$B$7&lt;2,"NOT RUN",IF(C17=0,"NO VALID VALUES",AVERAGE('Screen_nonluxury'!$D$2:INDEX('Screen_nonluxury'!$D:$D,Summary_entry!$B$7))))</f>
        <v/>
      </c>
      <c r="E17" s="5">
        <f>IF(Summary_entry!$B$7&lt;2,"NOT RUN",IF(C17=0,"NO VALID VALUES",MEDIAN('Screen_nonluxury'!$D$2:INDEX('Screen_nonluxury'!$D:$D,Summary_entry!$B$7))))</f>
        <v/>
      </c>
      <c r="F17" s="5">
        <f>IF(Summary_entry!$B$7&lt;2,"NOT RUN",IF(C17=0,"NO VALID VALUES",_xlfn.IFNA(_xlfn.MODE.SNGL('Screen_nonluxury'!$D$2:INDEX('Screen_nonluxury'!$D:$D,Summary_entry!$B$7)),"No mode — all values unique")))</f>
        <v/>
      </c>
      <c r="G17" s="5">
        <f>IF(Summary_entry!$B$7&lt;2,"NOT RUN",IF(C17&lt;2,"INSUFFICIENT N",_xlfn.STDEV.S('Screen_nonluxury'!$D$2:INDEX('Screen_nonluxury'!$D:$D,Summary_entry!$B$7))))</f>
        <v/>
      </c>
      <c r="H17" s="5">
        <f>IF(Summary_entry!$B$7&lt;2,"NOT RUN",IF(C17=0,"NO VALID VALUES",MIN('Screen_nonluxury'!$D$2:INDEX('Screen_nonluxury'!$D:$D,Summary_entry!$B$7))))</f>
        <v/>
      </c>
      <c r="I17" s="5">
        <f>IF(Summary_entry!$B$7&lt;2,"NOT RUN",IF(C17=0,"NO VALID VALUES",MAX('Screen_nonluxury'!$D$2:INDEX('Screen_nonluxury'!$D:$D,Summary_entry!$B$7))))</f>
        <v/>
      </c>
      <c r="J17" s="5">
        <f>IF(Summary_entry!$B$7&lt;2,"NOT RUN",IF(C17=0,"NO VALID VALUES",_xlfn.QUARTILE.INC('Screen_nonluxury'!$D$2:INDEX('Screen_nonluxury'!$D:$D,Summary_entry!$B$7),1)))</f>
        <v/>
      </c>
      <c r="K17" s="5">
        <f>IF(Summary_entry!$B$7&lt;2,"NOT RUN",IF(C17=0,"NO VALID VALUES",_xlfn.QUARTILE.INC('Screen_nonluxury'!$D$2:INDEX('Screen_nonluxury'!$D:$D,Summary_entry!$B$7),3)))</f>
        <v/>
      </c>
      <c r="L17" s="5">
        <f>IF(Summary_entry!$B$7&lt;2,"NOT RUN",IF(C17=0,"NO VALID VALUES",K17-J17))</f>
        <v/>
      </c>
      <c r="M17" s="3" t="inlineStr">
        <is>
          <t>Screen_nonluxury!D2:D[last row from Summary_entry]</t>
        </is>
      </c>
    </row>
    <row r="18">
      <c r="A18" s="2" t="inlineStr">
        <is>
          <t>Screen_nonluxury</t>
        </is>
      </c>
      <c r="B18" s="2" t="inlineStr">
        <is>
          <t>Registration_Age</t>
        </is>
      </c>
      <c r="C18" s="4">
        <f>IF(Summary_entry!$B$7&lt;2,"NOT RUN",COUNT('Screen_nonluxury'!$E$2:INDEX('Screen_nonluxury'!$E:$E,Summary_entry!$B$7)))</f>
        <v/>
      </c>
      <c r="D18" s="4">
        <f>IF(Summary_entry!$B$7&lt;2,"NOT RUN",IF(C18=0,"NO VALID VALUES",AVERAGE('Screen_nonluxury'!$E$2:INDEX('Screen_nonluxury'!$E:$E,Summary_entry!$B$7))))</f>
        <v/>
      </c>
      <c r="E18" s="4">
        <f>IF(Summary_entry!$B$7&lt;2,"NOT RUN",IF(C18=0,"NO VALID VALUES",MEDIAN('Screen_nonluxury'!$E$2:INDEX('Screen_nonluxury'!$E:$E,Summary_entry!$B$7))))</f>
        <v/>
      </c>
      <c r="F18" s="4">
        <f>IF(Summary_entry!$B$7&lt;2,"NOT RUN",IF(C18=0,"NO VALID VALUES",_xlfn.IFNA(_xlfn.MODE.SNGL('Screen_nonluxury'!$E$2:INDEX('Screen_nonluxury'!$E:$E,Summary_entry!$B$7)),"No mode — all values unique")))</f>
        <v/>
      </c>
      <c r="G18" s="4">
        <f>IF(Summary_entry!$B$7&lt;2,"NOT RUN",IF(C18&lt;2,"INSUFFICIENT N",_xlfn.STDEV.S('Screen_nonluxury'!$E$2:INDEX('Screen_nonluxury'!$E:$E,Summary_entry!$B$7))))</f>
        <v/>
      </c>
      <c r="H18" s="4">
        <f>IF(Summary_entry!$B$7&lt;2,"NOT RUN",IF(C18=0,"NO VALID VALUES",MIN('Screen_nonluxury'!$E$2:INDEX('Screen_nonluxury'!$E:$E,Summary_entry!$B$7))))</f>
        <v/>
      </c>
      <c r="I18" s="4">
        <f>IF(Summary_entry!$B$7&lt;2,"NOT RUN",IF(C18=0,"NO VALID VALUES",MAX('Screen_nonluxury'!$E$2:INDEX('Screen_nonluxury'!$E:$E,Summary_entry!$B$7))))</f>
        <v/>
      </c>
      <c r="J18" s="4">
        <f>IF(Summary_entry!$B$7&lt;2,"NOT RUN",IF(C18=0,"NO VALID VALUES",_xlfn.QUARTILE.INC('Screen_nonluxury'!$E$2:INDEX('Screen_nonluxury'!$E:$E,Summary_entry!$B$7),1)))</f>
        <v/>
      </c>
      <c r="K18" s="4">
        <f>IF(Summary_entry!$B$7&lt;2,"NOT RUN",IF(C18=0,"NO VALID VALUES",_xlfn.QUARTILE.INC('Screen_nonluxury'!$E$2:INDEX('Screen_nonluxury'!$E:$E,Summary_entry!$B$7),3)))</f>
        <v/>
      </c>
      <c r="L18" s="4">
        <f>IF(Summary_entry!$B$7&lt;2,"NOT RUN",IF(C18=0,"NO VALID VALUES",K18-J18))</f>
        <v/>
      </c>
      <c r="M18" s="2" t="inlineStr">
        <is>
          <t>Screen_nonluxury!E2:E[last row from Summary_entry]</t>
        </is>
      </c>
    </row>
    <row r="19">
      <c r="A19" s="3" t="inlineStr">
        <is>
          <t>Screen_nonluxury</t>
        </is>
      </c>
      <c r="B19" s="3" t="inlineStr">
        <is>
          <t>Kms_Driven</t>
        </is>
      </c>
      <c r="C19" s="5">
        <f>IF(Summary_entry!$B$7&lt;2,"NOT RUN",COUNT('Screen_nonluxury'!$F$2:INDEX('Screen_nonluxury'!$F:$F,Summary_entry!$B$7)))</f>
        <v/>
      </c>
      <c r="D19" s="5">
        <f>IF(Summary_entry!$B$7&lt;2,"NOT RUN",IF(C19=0,"NO VALID VALUES",AVERAGE('Screen_nonluxury'!$F$2:INDEX('Screen_nonluxury'!$F:$F,Summary_entry!$B$7))))</f>
        <v/>
      </c>
      <c r="E19" s="5">
        <f>IF(Summary_entry!$B$7&lt;2,"NOT RUN",IF(C19=0,"NO VALID VALUES",MEDIAN('Screen_nonluxury'!$F$2:INDEX('Screen_nonluxury'!$F:$F,Summary_entry!$B$7))))</f>
        <v/>
      </c>
      <c r="F19" s="5">
        <f>IF(Summary_entry!$B$7&lt;2,"NOT RUN",IF(C19=0,"NO VALID VALUES",_xlfn.IFNA(_xlfn.MODE.SNGL('Screen_nonluxury'!$F$2:INDEX('Screen_nonluxury'!$F:$F,Summary_entry!$B$7)),"No mode — all values unique")))</f>
        <v/>
      </c>
      <c r="G19" s="5">
        <f>IF(Summary_entry!$B$7&lt;2,"NOT RUN",IF(C19&lt;2,"INSUFFICIENT N",_xlfn.STDEV.S('Screen_nonluxury'!$F$2:INDEX('Screen_nonluxury'!$F:$F,Summary_entry!$B$7))))</f>
        <v/>
      </c>
      <c r="H19" s="5">
        <f>IF(Summary_entry!$B$7&lt;2,"NOT RUN",IF(C19=0,"NO VALID VALUES",MIN('Screen_nonluxury'!$F$2:INDEX('Screen_nonluxury'!$F:$F,Summary_entry!$B$7))))</f>
        <v/>
      </c>
      <c r="I19" s="5">
        <f>IF(Summary_entry!$B$7&lt;2,"NOT RUN",IF(C19=0,"NO VALID VALUES",MAX('Screen_nonluxury'!$F$2:INDEX('Screen_nonluxury'!$F:$F,Summary_entry!$B$7))))</f>
        <v/>
      </c>
      <c r="J19" s="5">
        <f>IF(Summary_entry!$B$7&lt;2,"NOT RUN",IF(C19=0,"NO VALID VALUES",_xlfn.QUARTILE.INC('Screen_nonluxury'!$F$2:INDEX('Screen_nonluxury'!$F:$F,Summary_entry!$B$7),1)))</f>
        <v/>
      </c>
      <c r="K19" s="5">
        <f>IF(Summary_entry!$B$7&lt;2,"NOT RUN",IF(C19=0,"NO VALID VALUES",_xlfn.QUARTILE.INC('Screen_nonluxury'!$F$2:INDEX('Screen_nonluxury'!$F:$F,Summary_entry!$B$7),3)))</f>
        <v/>
      </c>
      <c r="L19" s="5">
        <f>IF(Summary_entry!$B$7&lt;2,"NOT RUN",IF(C19=0,"NO VALID VALUES",K19-J19))</f>
        <v/>
      </c>
      <c r="M19" s="3" t="inlineStr">
        <is>
          <t>Screen_nonluxury!F2:F[last row from Summary_entry]</t>
        </is>
      </c>
    </row>
  </sheetData>
  <autoFilter ref="A1:M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90" customWidth="1" min="5" max="5"/>
  </cols>
  <sheetData>
    <row r="1" ht="32" customHeight="1">
      <c r="A1" s="1" t="inlineStr">
        <is>
          <t>COHORT</t>
        </is>
      </c>
      <c r="B1" s="1" t="inlineStr">
        <is>
          <t>PAIR</t>
        </is>
      </c>
      <c r="C1" s="1" t="inlineStr">
        <is>
          <t>PAIR N (AFTER AUDIT)</t>
        </is>
      </c>
      <c r="D1" s="1" t="inlineStr">
        <is>
          <t>PEARSON R</t>
        </is>
      </c>
      <c r="E1" s="1" t="inlineStr">
        <is>
          <t>AUDIT REQUIREMENT</t>
        </is>
      </c>
    </row>
    <row r="2">
      <c r="A2" s="2" t="inlineStr">
        <is>
          <t>Full_all</t>
        </is>
      </c>
      <c r="B2" s="2" t="inlineStr">
        <is>
          <t>Age–price</t>
        </is>
      </c>
      <c r="C2" s="2" t="inlineStr"/>
      <c r="D2" s="4">
        <f>IF(Summary_entry!$B$2&lt;2,"NOT RUN",IF(C2&lt;2,"ENTER AUDITED PAIR N",CORREL('Full_all'!$E$2:INDEX('Full_all'!$E:$E,Summary_entry!$B$2),'Full_all'!$D$2:INDEX('Full_all'!$D:$D,Summary_entry!$B$2))))</f>
        <v/>
      </c>
      <c r="E2" s="2" t="inlineStr">
        <is>
          <t>Enter paired-valid n ONLY after checking all copied records have numeric x and price. If invalid records remain, first create and reference an aligned paired-valid range.</t>
        </is>
      </c>
    </row>
    <row r="3">
      <c r="A3" s="3" t="inlineStr">
        <is>
          <t>Full_all</t>
        </is>
      </c>
      <c r="B3" s="3" t="inlineStr">
        <is>
          <t>Usage–price</t>
        </is>
      </c>
      <c r="C3" s="3" t="inlineStr"/>
      <c r="D3" s="5">
        <f>IF(Summary_entry!$B$2&lt;2,"NOT RUN",IF(C3&lt;2,"ENTER AUDITED PAIR N",CORREL('Full_all'!$F$2:INDEX('Full_all'!$F:$F,Summary_entry!$B$2),'Full_all'!$D$2:INDEX('Full_all'!$D:$D,Summary_entry!$B$2))))</f>
        <v/>
      </c>
      <c r="E3" s="3" t="inlineStr">
        <is>
          <t>Enter paired-valid n ONLY after checking all copied records have numeric x and price. If invalid records remain, first create and reference an aligned paired-valid range.</t>
        </is>
      </c>
    </row>
    <row r="4">
      <c r="A4" s="2" t="inlineStr">
        <is>
          <t>Full_luxury</t>
        </is>
      </c>
      <c r="B4" s="2" t="inlineStr">
        <is>
          <t>Age–price</t>
        </is>
      </c>
      <c r="C4" s="2" t="inlineStr"/>
      <c r="D4" s="4">
        <f>IF(Summary_entry!$B$3&lt;2,"NOT RUN",IF(C4&lt;2,"ENTER AUDITED PAIR N",CORREL('Full_luxury'!$E$2:INDEX('Full_luxury'!$E:$E,Summary_entry!$B$3),'Full_luxury'!$D$2:INDEX('Full_luxury'!$D:$D,Summary_entry!$B$3))))</f>
        <v/>
      </c>
      <c r="E4" s="2" t="inlineStr">
        <is>
          <t>Enter paired-valid n ONLY after checking all copied records have numeric x and price. If invalid records remain, first create and reference an aligned paired-valid range.</t>
        </is>
      </c>
    </row>
    <row r="5">
      <c r="A5" s="3" t="inlineStr">
        <is>
          <t>Full_luxury</t>
        </is>
      </c>
      <c r="B5" s="3" t="inlineStr">
        <is>
          <t>Usage–price</t>
        </is>
      </c>
      <c r="C5" s="3" t="inlineStr"/>
      <c r="D5" s="5">
        <f>IF(Summary_entry!$B$3&lt;2,"NOT RUN",IF(C5&lt;2,"ENTER AUDITED PAIR N",CORREL('Full_luxury'!$F$2:INDEX('Full_luxury'!$F:$F,Summary_entry!$B$3),'Full_luxury'!$D$2:INDEX('Full_luxury'!$D:$D,Summary_entry!$B$3))))</f>
        <v/>
      </c>
      <c r="E5" s="3" t="inlineStr">
        <is>
          <t>Enter paired-valid n ONLY after checking all copied records have numeric x and price. If invalid records remain, first create and reference an aligned paired-valid range.</t>
        </is>
      </c>
    </row>
    <row r="6">
      <c r="A6" s="2" t="inlineStr">
        <is>
          <t>Full_nonluxury</t>
        </is>
      </c>
      <c r="B6" s="2" t="inlineStr">
        <is>
          <t>Age–price</t>
        </is>
      </c>
      <c r="C6" s="2" t="inlineStr"/>
      <c r="D6" s="4">
        <f>IF(Summary_entry!$B$4&lt;2,"NOT RUN",IF(C6&lt;2,"ENTER AUDITED PAIR N",CORREL('Full_nonluxury'!$E$2:INDEX('Full_nonluxury'!$E:$E,Summary_entry!$B$4),'Full_nonluxury'!$D$2:INDEX('Full_nonluxury'!$D:$D,Summary_entry!$B$4))))</f>
        <v/>
      </c>
      <c r="E6" s="2" t="inlineStr">
        <is>
          <t>Enter paired-valid n ONLY after checking all copied records have numeric x and price. If invalid records remain, first create and reference an aligned paired-valid range.</t>
        </is>
      </c>
    </row>
    <row r="7">
      <c r="A7" s="3" t="inlineStr">
        <is>
          <t>Full_nonluxury</t>
        </is>
      </c>
      <c r="B7" s="3" t="inlineStr">
        <is>
          <t>Usage–price</t>
        </is>
      </c>
      <c r="C7" s="3" t="inlineStr"/>
      <c r="D7" s="5">
        <f>IF(Summary_entry!$B$4&lt;2,"NOT RUN",IF(C7&lt;2,"ENTER AUDITED PAIR N",CORREL('Full_nonluxury'!$F$2:INDEX('Full_nonluxury'!$F:$F,Summary_entry!$B$4),'Full_nonluxury'!$D$2:INDEX('Full_nonluxury'!$D:$D,Summary_entry!$B$4))))</f>
        <v/>
      </c>
      <c r="E7" s="3" t="inlineStr">
        <is>
          <t>Enter paired-valid n ONLY after checking all copied records have numeric x and price. If invalid records remain, first create and reference an aligned paired-valid range.</t>
        </is>
      </c>
    </row>
    <row r="8">
      <c r="A8" s="2" t="inlineStr">
        <is>
          <t>Screen_all</t>
        </is>
      </c>
      <c r="B8" s="2" t="inlineStr">
        <is>
          <t>Age–price</t>
        </is>
      </c>
      <c r="C8" s="2" t="inlineStr"/>
      <c r="D8" s="4">
        <f>IF(Summary_entry!$B$5&lt;2,"NOT RUN",IF(C8&lt;2,"ENTER AUDITED PAIR N",CORREL('Screen_all'!$E$2:INDEX('Screen_all'!$E:$E,Summary_entry!$B$5),'Screen_all'!$D$2:INDEX('Screen_all'!$D:$D,Summary_entry!$B$5))))</f>
        <v/>
      </c>
      <c r="E8" s="2" t="inlineStr">
        <is>
          <t>Enter paired-valid n ONLY after checking all copied records have numeric x and price. If invalid records remain, first create and reference an aligned paired-valid range.</t>
        </is>
      </c>
    </row>
    <row r="9">
      <c r="A9" s="3" t="inlineStr">
        <is>
          <t>Screen_all</t>
        </is>
      </c>
      <c r="B9" s="3" t="inlineStr">
        <is>
          <t>Usage–price</t>
        </is>
      </c>
      <c r="C9" s="3" t="inlineStr"/>
      <c r="D9" s="5">
        <f>IF(Summary_entry!$B$5&lt;2,"NOT RUN",IF(C9&lt;2,"ENTER AUDITED PAIR N",CORREL('Screen_all'!$F$2:INDEX('Screen_all'!$F:$F,Summary_entry!$B$5),'Screen_all'!$D$2:INDEX('Screen_all'!$D:$D,Summary_entry!$B$5))))</f>
        <v/>
      </c>
      <c r="E9" s="3" t="inlineStr">
        <is>
          <t>Enter paired-valid n ONLY after checking all copied records have numeric x and price. If invalid records remain, first create and reference an aligned paired-valid range.</t>
        </is>
      </c>
    </row>
    <row r="10">
      <c r="A10" s="2" t="inlineStr">
        <is>
          <t>Screen_luxury</t>
        </is>
      </c>
      <c r="B10" s="2" t="inlineStr">
        <is>
          <t>Age–price</t>
        </is>
      </c>
      <c r="C10" s="2" t="inlineStr"/>
      <c r="D10" s="4">
        <f>IF(Summary_entry!$B$6&lt;2,"NOT RUN",IF(C10&lt;2,"ENTER AUDITED PAIR N",CORREL('Screen_luxury'!$E$2:INDEX('Screen_luxury'!$E:$E,Summary_entry!$B$6),'Screen_luxury'!$D$2:INDEX('Screen_luxury'!$D:$D,Summary_entry!$B$6))))</f>
        <v/>
      </c>
      <c r="E10" s="2" t="inlineStr">
        <is>
          <t>Enter paired-valid n ONLY after checking all copied records have numeric x and price. If invalid records remain, first create and reference an aligned paired-valid range.</t>
        </is>
      </c>
    </row>
    <row r="11">
      <c r="A11" s="3" t="inlineStr">
        <is>
          <t>Screen_luxury</t>
        </is>
      </c>
      <c r="B11" s="3" t="inlineStr">
        <is>
          <t>Usage–price</t>
        </is>
      </c>
      <c r="C11" s="3" t="inlineStr"/>
      <c r="D11" s="5">
        <f>IF(Summary_entry!$B$6&lt;2,"NOT RUN",IF(C11&lt;2,"ENTER AUDITED PAIR N",CORREL('Screen_luxury'!$F$2:INDEX('Screen_luxury'!$F:$F,Summary_entry!$B$6),'Screen_luxury'!$D$2:INDEX('Screen_luxury'!$D:$D,Summary_entry!$B$6))))</f>
        <v/>
      </c>
      <c r="E11" s="3" t="inlineStr">
        <is>
          <t>Enter paired-valid n ONLY after checking all copied records have numeric x and price. If invalid records remain, first create and reference an aligned paired-valid range.</t>
        </is>
      </c>
    </row>
    <row r="12">
      <c r="A12" s="2" t="inlineStr">
        <is>
          <t>Screen_nonluxury</t>
        </is>
      </c>
      <c r="B12" s="2" t="inlineStr">
        <is>
          <t>Age–price</t>
        </is>
      </c>
      <c r="C12" s="2" t="inlineStr"/>
      <c r="D12" s="4">
        <f>IF(Summary_entry!$B$7&lt;2,"NOT RUN",IF(C12&lt;2,"ENTER AUDITED PAIR N",CORREL('Screen_nonluxury'!$E$2:INDEX('Screen_nonluxury'!$E:$E,Summary_entry!$B$7),'Screen_nonluxury'!$D$2:INDEX('Screen_nonluxury'!$D:$D,Summary_entry!$B$7))))</f>
        <v/>
      </c>
      <c r="E12" s="2" t="inlineStr">
        <is>
          <t>Enter paired-valid n ONLY after checking all copied records have numeric x and price. If invalid records remain, first create and reference an aligned paired-valid range.</t>
        </is>
      </c>
    </row>
    <row r="13">
      <c r="A13" s="3" t="inlineStr">
        <is>
          <t>Screen_nonluxury</t>
        </is>
      </c>
      <c r="B13" s="3" t="inlineStr">
        <is>
          <t>Usage–price</t>
        </is>
      </c>
      <c r="C13" s="3" t="inlineStr"/>
      <c r="D13" s="5">
        <f>IF(Summary_entry!$B$7&lt;2,"NOT RUN",IF(C13&lt;2,"ENTER AUDITED PAIR N",CORREL('Screen_nonluxury'!$F$2:INDEX('Screen_nonluxury'!$F:$F,Summary_entry!$B$7),'Screen_nonluxury'!$D$2:INDEX('Screen_nonluxury'!$D:$D,Summary_entry!$B$7))))</f>
        <v/>
      </c>
      <c r="E13" s="3" t="inlineStr">
        <is>
          <t>Enter paired-valid n ONLY after checking all copied records have numeric x and price. If invalid records remain, first create and reference an aligned paired-valid range.</t>
        </is>
      </c>
    </row>
  </sheetData>
  <autoFilter ref="A1:E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2" customWidth="1" min="2" max="2"/>
    <col width="72" customWidth="1" min="3" max="3"/>
  </cols>
  <sheetData>
    <row r="1" ht="32" customHeight="1">
      <c r="A1" s="1" t="inlineStr">
        <is>
          <t>PURPOSE</t>
        </is>
      </c>
      <c r="B1" s="1" t="inlineStr">
        <is>
          <t>FORMULA TEXT (NOT EXECUTED)</t>
        </is>
      </c>
      <c r="C1" s="1" t="inlineStr">
        <is>
          <t>PRECONDITION</t>
        </is>
      </c>
    </row>
    <row r="2" ht="48" customHeight="1">
      <c r="A2" s="2" t="inlineStr">
        <is>
          <t>Brand normalisation</t>
        </is>
      </c>
      <c r="B2" s="2" t="inlineStr">
        <is>
          <t>=TRIM(A2)</t>
        </is>
      </c>
      <c r="C2" s="2" t="inlineStr">
        <is>
          <t>Adjust raw column/header position; retain original values</t>
        </is>
      </c>
    </row>
    <row r="3" ht="48" customHeight="1">
      <c r="A3" s="3" t="inlineStr">
        <is>
          <t>Luxury flag</t>
        </is>
      </c>
      <c r="B3" s="3" t="inlineStr">
        <is>
          <t>=IF(OR(V2="Audi",V2="BMW",V2="Mercedes"),"Luxury","Non-luxury")</t>
        </is>
      </c>
      <c r="C3" s="3" t="inlineStr">
        <is>
          <t>Run only after verifying all brands are valid; retain blank/Unknown separately</t>
        </is>
      </c>
    </row>
    <row r="4" ht="48" customHeight="1">
      <c r="A4" s="2" t="inlineStr">
        <is>
          <t>High-usage flag</t>
        </is>
      </c>
      <c r="B4" s="2" t="inlineStr">
        <is>
          <t>=IF(ISNUMBER(L2),L2&gt;1000000,FALSE)</t>
        </is>
      </c>
      <c r="C4" s="2" t="inlineStr">
        <is>
          <t>Missing/non-numeric/negative usage must be audited separately</t>
        </is>
      </c>
    </row>
    <row r="5" ht="48" customHeight="1">
      <c r="A5" s="3" t="inlineStr">
        <is>
          <t>Random key</t>
        </is>
      </c>
      <c r="B5" s="3" t="inlineStr">
        <is>
          <t>=RAND()</t>
        </is>
      </c>
      <c r="C5" s="3" t="inlineStr">
        <is>
          <t>Generate on every eligible row in Microsoft Excel; freeze as values before sorting</t>
        </is>
      </c>
    </row>
    <row r="6" ht="48" customHeight="1">
      <c r="A6" s="2" t="inlineStr">
        <is>
          <t>All modal values</t>
        </is>
      </c>
      <c r="B6" s="2" t="inlineStr">
        <is>
          <t>=MODE.MULT(Price)</t>
        </is>
      </c>
      <c r="C6" s="2" t="inlineStr">
        <is>
          <t>Excel output required if repeated values have tied highest frequencies</t>
        </is>
      </c>
    </row>
    <row r="7" ht="48" customHeight="1">
      <c r="A7" s="3" t="inlineStr">
        <is>
          <t>Sorted adjacent duplicate</t>
        </is>
      </c>
      <c r="B7" s="3" t="inlineStr">
        <is>
          <t>=IF(AND(ISNUMBER(D3),ISNUMBER(D2)),D3=D2,FALSE)</t>
        </is>
      </c>
      <c r="C7" s="3" t="inlineStr">
        <is>
          <t>Sort unrounded original values first; count TRUE</t>
        </is>
      </c>
    </row>
    <row r="8" ht="48" customHeight="1">
      <c r="A8" s="2" t="inlineStr">
        <is>
          <t>Usage decile cutoff</t>
        </is>
      </c>
      <c r="B8" s="2" t="inlineStr">
        <is>
          <t>=PERCENTILE.INC(Usage,0.1)</t>
        </is>
      </c>
      <c r="C8" s="2" t="inlineStr">
        <is>
          <t>Retain nine pooled cutoffs and boundary-tie allocation rule</t>
        </is>
      </c>
    </row>
    <row r="9" ht="48" customHeight="1">
      <c r="A9" s="3" t="inlineStr">
        <is>
          <t>MAE later</t>
        </is>
      </c>
      <c r="B9" s="3" t="inlineStr">
        <is>
          <t>=AVERAGE(Absolute_Error_Range)</t>
        </is>
      </c>
      <c r="C9" s="3" t="inlineStr">
        <is>
          <t>Plan only; do not build final models in M1</t>
        </is>
      </c>
    </row>
    <row r="10" ht="48" customHeight="1">
      <c r="A10" s="2" t="inlineStr">
        <is>
          <t>RMSE later</t>
        </is>
      </c>
      <c r="B10" s="2" t="inlineStr">
        <is>
          <t>=SQRT(AVERAGE(Squared_Error_Range))</t>
        </is>
      </c>
      <c r="C10" s="2" t="inlineStr">
        <is>
          <t>Plan only; evaluate later on the same held-out observations</t>
        </is>
      </c>
    </row>
  </sheetData>
  <autoFilter ref="A1:C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Original_Row</t>
        </is>
      </c>
      <c r="B1" s="1" t="inlineStr">
        <is>
          <t>Brand_Clean</t>
        </is>
      </c>
      <c r="C1" s="1" t="inlineStr">
        <is>
          <t>Segment</t>
        </is>
      </c>
      <c r="D1" s="1" t="inlineStr">
        <is>
          <t>Car_Price</t>
        </is>
      </c>
      <c r="E1" s="1" t="inlineStr">
        <is>
          <t>Registration_Age</t>
        </is>
      </c>
      <c r="F1" s="1" t="inlineStr">
        <is>
          <t>Kms_Driven</t>
        </is>
      </c>
    </row>
  </sheetData>
  <autoFilter ref="A1: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Original_Row</t>
        </is>
      </c>
      <c r="B1" s="1" t="inlineStr">
        <is>
          <t>Brand_Clean</t>
        </is>
      </c>
      <c r="C1" s="1" t="inlineStr">
        <is>
          <t>Segment</t>
        </is>
      </c>
      <c r="D1" s="1" t="inlineStr">
        <is>
          <t>Car_Price</t>
        </is>
      </c>
      <c r="E1" s="1" t="inlineStr">
        <is>
          <t>Registration_Age</t>
        </is>
      </c>
      <c r="F1" s="1" t="inlineStr">
        <is>
          <t>Kms_Driven</t>
        </is>
      </c>
    </row>
  </sheetData>
  <autoFilter ref="A1:F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Original_Row</t>
        </is>
      </c>
      <c r="B1" s="1" t="inlineStr">
        <is>
          <t>Brand_Clean</t>
        </is>
      </c>
      <c r="C1" s="1" t="inlineStr">
        <is>
          <t>Segment</t>
        </is>
      </c>
      <c r="D1" s="1" t="inlineStr">
        <is>
          <t>Car_Price</t>
        </is>
      </c>
      <c r="E1" s="1" t="inlineStr">
        <is>
          <t>Registration_Age</t>
        </is>
      </c>
      <c r="F1" s="1" t="inlineStr">
        <is>
          <t>Kms_Driven</t>
        </is>
      </c>
    </row>
  </sheetData>
  <autoFilter ref="A1:F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Original_Row</t>
        </is>
      </c>
      <c r="B1" s="1" t="inlineStr">
        <is>
          <t>Brand_Clean</t>
        </is>
      </c>
      <c r="C1" s="1" t="inlineStr">
        <is>
          <t>Segment</t>
        </is>
      </c>
      <c r="D1" s="1" t="inlineStr">
        <is>
          <t>Car_Price</t>
        </is>
      </c>
      <c r="E1" s="1" t="inlineStr">
        <is>
          <t>Registration_Age</t>
        </is>
      </c>
      <c r="F1" s="1" t="inlineStr">
        <is>
          <t>Kms_Driven</t>
        </is>
      </c>
    </row>
  </sheetData>
  <autoFilter ref="A1:F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Original_Row</t>
        </is>
      </c>
      <c r="B1" s="1" t="inlineStr">
        <is>
          <t>Brand_Clean</t>
        </is>
      </c>
      <c r="C1" s="1" t="inlineStr">
        <is>
          <t>Segment</t>
        </is>
      </c>
      <c r="D1" s="1" t="inlineStr">
        <is>
          <t>Car_Price</t>
        </is>
      </c>
      <c r="E1" s="1" t="inlineStr">
        <is>
          <t>Registration_Age</t>
        </is>
      </c>
      <c r="F1" s="1" t="inlineStr">
        <is>
          <t>Kms_Driven</t>
        </is>
      </c>
    </row>
  </sheetData>
  <autoFilter ref="A1:F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Original_Row</t>
        </is>
      </c>
      <c r="B1" s="1" t="inlineStr">
        <is>
          <t>Brand_Clean</t>
        </is>
      </c>
      <c r="C1" s="1" t="inlineStr">
        <is>
          <t>Segment</t>
        </is>
      </c>
      <c r="D1" s="1" t="inlineStr">
        <is>
          <t>Car_Price</t>
        </is>
      </c>
      <c r="E1" s="1" t="inlineStr">
        <is>
          <t>Registration_Age</t>
        </is>
      </c>
      <c r="F1" s="1" t="inlineStr">
        <is>
          <t>Kms_Driven</t>
        </is>
      </c>
    </row>
  </sheetData>
  <autoFilter ref="A1:F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2" customHeight="1">
      <c r="A1" s="1" t="inlineStr">
        <is>
          <t>Original_Row</t>
        </is>
      </c>
      <c r="B1" s="1" t="inlineStr">
        <is>
          <t>Brand_Clean</t>
        </is>
      </c>
      <c r="C1" s="1" t="inlineStr">
        <is>
          <t>Segment</t>
        </is>
      </c>
      <c r="D1" s="1" t="inlineStr">
        <is>
          <t>Car_Price</t>
        </is>
      </c>
      <c r="E1" s="1" t="inlineStr">
        <is>
          <t>Registration_Age</t>
        </is>
      </c>
      <c r="F1" s="1" t="inlineStr">
        <is>
          <t>Kms_Driven</t>
        </is>
      </c>
      <c r="G1" s="1" t="inlineStr">
        <is>
          <t>Random_Key_frozen</t>
        </is>
      </c>
    </row>
  </sheetData>
  <autoFilter ref="A1:G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32" customHeight="1">
      <c r="A1" s="1" t="inlineStr">
        <is>
          <t>RECORD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Eligible cohort / filter</t>
        </is>
      </c>
      <c r="B2" s="2" t="inlineStr"/>
      <c r="C2" s="2" t="inlineStr">
        <is>
          <t>NOT RUN</t>
        </is>
      </c>
    </row>
    <row r="3">
      <c r="A3" s="3" t="inlineStr">
        <is>
          <t>Eligible pool n</t>
        </is>
      </c>
      <c r="B3" s="3" t="inlineStr"/>
      <c r="C3" s="3" t="inlineStr">
        <is>
          <t>NOT RUN</t>
        </is>
      </c>
    </row>
    <row r="4">
      <c r="A4" s="2" t="inlineStr">
        <is>
          <t>Frozen RAND range</t>
        </is>
      </c>
      <c r="B4" s="2" t="inlineStr"/>
      <c r="C4" s="2" t="inlineStr">
        <is>
          <t>NOT RUN</t>
        </is>
      </c>
    </row>
    <row r="5">
      <c r="A5" s="3" t="inlineStr">
        <is>
          <t>Freeze / save time</t>
        </is>
      </c>
      <c r="B5" s="3" t="inlineStr"/>
      <c r="C5" s="3" t="inlineStr">
        <is>
          <t>NOT RUN</t>
        </is>
      </c>
    </row>
    <row r="6">
      <c r="A6" s="2" t="inlineStr">
        <is>
          <t>Whole-table sort keys</t>
        </is>
      </c>
      <c r="B6" s="2" t="inlineStr">
        <is>
          <t>Random_Key ascending; Original_Row ascending</t>
        </is>
      </c>
      <c r="C6" s="2" t="inlineStr">
        <is>
          <t>PROPOSED</t>
        </is>
      </c>
    </row>
    <row r="7">
      <c r="A7" s="3" t="inlineStr">
        <is>
          <t>Actual selected n</t>
        </is>
      </c>
      <c r="B7" s="3" t="inlineStr"/>
      <c r="C7" s="3" t="inlineStr">
        <is>
          <t>NOT RUN</t>
        </is>
      </c>
    </row>
    <row r="8">
      <c r="A8" s="2" t="inlineStr">
        <is>
          <t>Luxury selected n</t>
        </is>
      </c>
      <c r="B8" s="2" t="inlineStr"/>
      <c r="C8" s="2" t="inlineStr">
        <is>
          <t>NOT RUN</t>
        </is>
      </c>
    </row>
    <row r="9">
      <c r="A9" s="3" t="inlineStr">
        <is>
          <t>Non-luxury selected n</t>
        </is>
      </c>
      <c r="B9" s="3" t="inlineStr"/>
      <c r="C9" s="3" t="inlineStr">
        <is>
          <t>NOT RUN</t>
        </is>
      </c>
    </row>
    <row r="10">
      <c r="A10" s="2" t="inlineStr">
        <is>
          <t>Retained pool worksheet / version</t>
        </is>
      </c>
      <c r="B10" s="2" t="inlineStr"/>
      <c r="C10" s="2" t="inlineStr">
        <is>
          <t>NOT RUN</t>
        </is>
      </c>
    </row>
    <row r="11">
      <c r="A11" s="3" t="inlineStr">
        <is>
          <t>Original row identifiers retained</t>
        </is>
      </c>
      <c r="B11" s="3" t="inlineStr"/>
      <c r="C11" s="3" t="inlineStr">
        <is>
          <t>NOT RUN</t>
        </is>
      </c>
    </row>
    <row r="12">
      <c r="A12" s="2" t="inlineStr">
        <is>
          <t>RAND formulas absent after freezing</t>
        </is>
      </c>
      <c r="B12" s="2" t="inlineStr"/>
      <c r="C12" s="2" t="inlineStr">
        <is>
          <t>NOT RUN</t>
        </is>
      </c>
    </row>
  </sheetData>
  <autoFilter ref="A1:C1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CHART</t>
        </is>
      </c>
      <c r="B1" s="1" t="inlineStr">
        <is>
          <t>X DATA RANGE</t>
        </is>
      </c>
      <c r="C1" s="1" t="inlineStr">
        <is>
          <t>Y DATA RANGE</t>
        </is>
      </c>
      <c r="D1" s="1" t="inlineStr">
        <is>
          <t>SERIES / COHORT</t>
        </is>
      </c>
      <c r="E1" s="1" t="inlineStr">
        <is>
          <t>N</t>
        </is>
      </c>
      <c r="F1" s="1" t="inlineStr">
        <is>
          <t>AXIS / BINS</t>
        </is>
      </c>
      <c r="G1" s="1" t="inlineStr">
        <is>
          <t>EXCEL CREATED / DATE</t>
        </is>
      </c>
      <c r="H1" s="1" t="inlineStr">
        <is>
          <t>STATUS</t>
        </is>
      </c>
    </row>
    <row r="2">
      <c r="A2" s="2" t="inlineStr">
        <is>
          <t>Age vs price scatter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NOT RUN</t>
        </is>
      </c>
    </row>
    <row r="3">
      <c r="A3" s="3" t="inlineStr">
        <is>
          <t>Usage vs price scatter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>
        <is>
          <t>NOT RUN</t>
        </is>
      </c>
    </row>
    <row r="4">
      <c r="A4" s="2" t="inlineStr">
        <is>
          <t>Price distribution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NOT RUN</t>
        </is>
      </c>
    </row>
    <row r="5">
      <c r="A5" s="3" t="inlineStr">
        <is>
          <t>Age means by segment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>
        <is>
          <t>NOT RUN</t>
        </is>
      </c>
    </row>
    <row r="6">
      <c r="A6" s="2" t="inlineStr">
        <is>
          <t>Usage decile means by segment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NOT RUN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COMM5000 M1 — Unexecuted Excel Verification Template</dc:title>
  <dc:description xmlns:dc="http://purl.org/dc/elements/1.1/">Blank source/evidence scaffold. No vehicle data, statistical results, random sample or charts have been computed.</dc:description>
  <dc:subject xmlns:dc="http://purl.org/dc/elements/1.1/">Original-XLSM precision; manual Excel execution required</dc:subject>
  <dcterms:created xmlns:dcterms="http://purl.org/dc/terms/" xmlns:xsi="http://www.w3.org/2001/XMLSchema-instance" xsi:type="dcterms:W3CDTF">2026-10-07T10:20:02Z</dcterms:created>
  <dcterms:modified xmlns:dcterms="http://purl.org/dc/terms/" xmlns:xsi="http://www.w3.org/2001/XMLSchema-instance" xsi:type="dcterms:W3CDTF">2026-10-07T10:20:02Z</dcterms:modified>
</cp:coreProperties>
</file>