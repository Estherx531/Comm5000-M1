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metadata1.xml" ContentType="application/vnd.openxmlformats-officedocument.spreadsheetml.sheetMetadata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85fa0cc544aa5" /><Relationship Type="http://schemas.openxmlformats.org/package/2006/relationships/metadata/core-properties" Target="/docProps/core.xml" Id="Rc1d5f07abba04707" /><Relationship Type="http://schemas.openxmlformats.org/officeDocument/2006/relationships/extended-properties" Target="/docProps/app.xml" Id="Rda003432022b452f" /><Relationship Type="http://schemas.openxmlformats.org/officeDocument/2006/relationships/custom-properties" Target="/docProps/custom.xml" Id="Re7f3d67b7bc94a9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Readme" sheetId="2" r:id="R23dec01446d64015"/>
    <x:sheet name="Source_Record" sheetId="3" r:id="R3fcb8c86206145ba"/>
    <x:sheet name="Snapshots" sheetId="4" r:id="R64d074f3c39a4600"/>
    <x:sheet name="Summary" sheetId="5" r:id="Reb35e5427d8e45ff"/>
    <x:sheet name="Audit" sheetId="6" r:id="Ra345a5c43ec747e7"/>
    <x:sheet name="Relationships" sheetId="7" r:id="Reee2be2ea4a74033"/>
    <x:sheet name="Grouped_Means" sheetId="8" r:id="Rea3834bf0bde4fc2"/>
    <x:sheet name="Chart_Data" sheetId="9" r:id="Re8e8badb4d9b4093"/>
    <x:sheet name="Charts" sheetId="10" r:id="Rb9b4721b3119439b"/>
    <x:sheet name="Formula_Index" sheetId="11" r:id="Rd51239e2d8294fec"/>
  </x:sheets>
  <x:calcPr fullCalcOnLoad="1"/>
</x:workbook>
</file>

<file path=xl/metadata1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0" borderId="0" applyFont="1"/>
    <x:xf numFmtId="0" fontId="2" fillId="2" borderId="0" applyFont="1" applyFill="1"/>
    <x:xf numFmtId="3" fontId="1" fillId="0" borderId="0" applyNumberFormat="1" applyFont="1"/>
    <x:xf numFmtId="4" fontId="1" fillId="0" borderId="0" applyNumberFormat="1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250d3f5c6a443b1" /><Relationship Type="http://schemas.openxmlformats.org/officeDocument/2006/relationships/styles" Target="/xl/styles.xml" Id="R98f44fdc666e4438" /><Relationship Type="http://schemas.openxmlformats.org/officeDocument/2006/relationships/worksheet" Target="/xl/worksheets/sheet2.xml" Id="R23dec01446d64015" /><Relationship Type="http://schemas.openxmlformats.org/officeDocument/2006/relationships/worksheet" Target="/xl/worksheets/sheet3.xml" Id="R3fcb8c86206145ba" /><Relationship Type="http://schemas.openxmlformats.org/officeDocument/2006/relationships/worksheet" Target="/xl/worksheets/sheet4.xml" Id="R64d074f3c39a4600" /><Relationship Type="http://schemas.openxmlformats.org/officeDocument/2006/relationships/worksheet" Target="/xl/worksheets/sheet5.xml" Id="Reb35e5427d8e45ff" /><Relationship Type="http://schemas.openxmlformats.org/officeDocument/2006/relationships/worksheet" Target="/xl/worksheets/sheet6.xml" Id="Ra345a5c43ec747e7" /><Relationship Type="http://schemas.openxmlformats.org/officeDocument/2006/relationships/worksheet" Target="/xl/worksheets/sheet7.xml" Id="Reee2be2ea4a74033" /><Relationship Type="http://schemas.openxmlformats.org/officeDocument/2006/relationships/worksheet" Target="/xl/worksheets/sheet8.xml" Id="Rea3834bf0bde4fc2" /><Relationship Type="http://schemas.openxmlformats.org/officeDocument/2006/relationships/worksheet" Target="/xl/worksheets/sheet9.xml" Id="Re8e8badb4d9b4093" /><Relationship Type="http://schemas.openxmlformats.org/officeDocument/2006/relationships/worksheet" Target="/xl/worksheets/sheet10.xml" Id="Rb9b4721b3119439b" /><Relationship Type="http://schemas.openxmlformats.org/officeDocument/2006/relationships/worksheet" Target="/xl/worksheets/sheet11.xml" Id="Rd51239e2d8294fec" /><Relationship Type="http://schemas.openxmlformats.org/officeDocument/2006/relationships/sheetMetadata" Target="/xl/metadata1.xml" Id="R7c1ca802edca41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adcdeb5ec143bd" /><Relationship Type="http://schemas.openxmlformats.org/officeDocument/2006/relationships/chart" Target="/xl/drawings/charts/chart2.xml" Id="R42bf6bedadbc4c73" /><Relationship Type="http://schemas.openxmlformats.org/officeDocument/2006/relationships/chart" Target="/xl/drawings/charts/chart3.xml" Id="R541cbe08139e44fe" /><Relationship Type="http://schemas.openxmlformats.org/officeDocument/2006/relationships/image" Target="/xl/media/image.png" Id="Rcab4ffdc74cf42d2" /><Relationship Type="http://schemas.openxmlformats.org/officeDocument/2006/relationships/image" Target="/xl/media/image2.png" Id="R14f156d00a9746df" /></Relationships>
</file>

<file path=xl/drawings/charts/chart1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/>
            </a:pPr>
            <a:r>
              <a:rPr lang="en-US" sz="1200" b="1">
                <a:solidFill>
                  <a:srgbClr val="163B53"/>
                </a:solidFill>
                <a:latin typeface="Arial"/>
                <a:ea typeface="Arial"/>
              </a:rPr>
              <a:t>Primary price distributions by segment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Luxury (%)</c:v>
          </c:tx>
          <c:spPr>
            <a:solidFill xmlns:a="http://schemas.openxmlformats.org/drawingml/2006/main">
              <a:srgbClr val="276A8A"/>
            </a:solidFill>
          </c:spPr>
          <c:invertIfNegative val="0"/>
          <c:cat>
            <c:strRef>
              <c:f>Chart_Data!$P$2:$P$22</c:f>
              <c:strCache>
                <c:ptCount val="21"/>
                <c:pt idx="0">
                  <c:v>0.0</c:v>
                </c:pt>
                <c:pt idx="1">
                  <c:v/>
                </c:pt>
                <c:pt idx="2">
                  <c:v>0.5</c:v>
                </c:pt>
                <c:pt idx="3">
                  <c:v/>
                </c:pt>
                <c:pt idx="4">
                  <c:v>1.0</c:v>
                </c:pt>
                <c:pt idx="5">
                  <c:v/>
                </c:pt>
                <c:pt idx="6">
                  <c:v>1.5</c:v>
                </c:pt>
                <c:pt idx="7">
                  <c:v/>
                </c:pt>
                <c:pt idx="8">
                  <c:v>2.0</c:v>
                </c:pt>
                <c:pt idx="9">
                  <c:v/>
                </c:pt>
                <c:pt idx="10">
                  <c:v>2.5</c:v>
                </c:pt>
                <c:pt idx="11">
                  <c:v/>
                </c:pt>
                <c:pt idx="12">
                  <c:v>3.0</c:v>
                </c:pt>
                <c:pt idx="13">
                  <c:v/>
                </c:pt>
                <c:pt idx="14">
                  <c:v>3.5</c:v>
                </c:pt>
                <c:pt idx="15">
                  <c:v/>
                </c:pt>
                <c:pt idx="16">
                  <c:v>4.0</c:v>
                </c:pt>
                <c:pt idx="17">
                  <c:v/>
                </c:pt>
                <c:pt idx="18">
                  <c:v>4.5</c:v>
                </c:pt>
                <c:pt idx="19">
                  <c:v/>
                </c:pt>
                <c:pt idx="20">
                  <c:v>≥5</c:v>
                </c:pt>
              </c:strCache>
            </c:strRef>
          </c:cat>
          <c:val>
            <c:numRef>
              <c:f>Chart_Data!$L$2:$L$22</c:f>
              <c:numCache>
                <c:formatCode>General</c:formatCode>
                <c:ptCount val="21"/>
                <c:pt idx="0">
                  <c:v>13.7102890003077</c:v>
                </c:pt>
                <c:pt idx="1">
                  <c:v>23.4398360208181</c:v>
                </c:pt>
                <c:pt idx="2">
                  <c:v>17.5852938754816</c:v>
                </c:pt>
                <c:pt idx="3">
                  <c:v>12.0436295561208</c:v>
                </c:pt>
                <c:pt idx="4">
                  <c:v>8.32593029151373</c:v>
                </c:pt>
                <c:pt idx="5">
                  <c:v>5.90307720975382</c:v>
                </c:pt>
                <c:pt idx="6">
                  <c:v>4.29405315456251</c:v>
                </c:pt>
                <c:pt idx="7">
                  <c:v>3.13614518917841</c:v>
                </c:pt>
                <c:pt idx="8">
                  <c:v>2.37995155160534</c:v>
                </c:pt>
                <c:pt idx="9">
                  <c:v>1.78193022217792</c:v>
                </c:pt>
                <c:pt idx="10">
                  <c:v>1.37328231373586</c:v>
                </c:pt>
                <c:pt idx="11">
                  <c:v>1.09767248365192</c:v>
                </c:pt>
                <c:pt idx="12">
                  <c:v>0.852397068828788</c:v>
                </c:pt>
                <c:pt idx="13">
                  <c:v>0.687291180052088</c:v>
                </c:pt>
                <c:pt idx="14">
                  <c:v>0.518285152170427</c:v>
                </c:pt>
                <c:pt idx="15">
                  <c:v>0.44158241643952</c:v>
                </c:pt>
                <c:pt idx="16">
                  <c:v>0.370946563760774</c:v>
                </c:pt>
                <c:pt idx="17">
                  <c:v>0.30507754776587</c:v>
                </c:pt>
                <c:pt idx="18">
                  <c:v>0.255242436980252</c:v>
                </c:pt>
                <c:pt idx="19">
                  <c:v>0.211474209246796</c:v>
                </c:pt>
                <c:pt idx="20">
                  <c:v>1.28661255584783</c:v>
                </c:pt>
              </c:numCache>
            </c:numRef>
          </c:val>
        </c:ser>
        <c:ser>
          <c:idx val="1"/>
          <c:order val="1"/>
          <c:tx>
            <c:v>Non-luxury (%)</c:v>
          </c:tx>
          <c:spPr>
            <a:solidFill xmlns:a="http://schemas.openxmlformats.org/drawingml/2006/main">
              <a:srgbClr val="E3A14B"/>
            </a:solidFill>
          </c:spPr>
          <c:invertIfNegative val="0"/>
          <c:cat>
            <c:strRef>
              <c:f>Chart_Data!$P$2:$P$22</c:f>
              <c:strCache>
                <c:ptCount val="21"/>
                <c:pt idx="0">
                  <c:v>0.0</c:v>
                </c:pt>
                <c:pt idx="1">
                  <c:v/>
                </c:pt>
                <c:pt idx="2">
                  <c:v>0.5</c:v>
                </c:pt>
                <c:pt idx="3">
                  <c:v/>
                </c:pt>
                <c:pt idx="4">
                  <c:v>1.0</c:v>
                </c:pt>
                <c:pt idx="5">
                  <c:v/>
                </c:pt>
                <c:pt idx="6">
                  <c:v>1.5</c:v>
                </c:pt>
                <c:pt idx="7">
                  <c:v/>
                </c:pt>
                <c:pt idx="8">
                  <c:v>2.0</c:v>
                </c:pt>
                <c:pt idx="9">
                  <c:v/>
                </c:pt>
                <c:pt idx="10">
                  <c:v>2.5</c:v>
                </c:pt>
                <c:pt idx="11">
                  <c:v/>
                </c:pt>
                <c:pt idx="12">
                  <c:v>3.0</c:v>
                </c:pt>
                <c:pt idx="13">
                  <c:v/>
                </c:pt>
                <c:pt idx="14">
                  <c:v>3.5</c:v>
                </c:pt>
                <c:pt idx="15">
                  <c:v/>
                </c:pt>
                <c:pt idx="16">
                  <c:v>4.0</c:v>
                </c:pt>
                <c:pt idx="17">
                  <c:v/>
                </c:pt>
                <c:pt idx="18">
                  <c:v>4.5</c:v>
                </c:pt>
                <c:pt idx="19">
                  <c:v/>
                </c:pt>
                <c:pt idx="20">
                  <c:v>≥5</c:v>
                </c:pt>
              </c:strCache>
            </c:strRef>
          </c:cat>
          <c:val>
            <c:numRef>
              <c:f>Chart_Data!$M$2:$M$22</c:f>
              <c:numCache>
                <c:formatCode>General</c:formatCode>
                <c:ptCount val="21"/>
                <c:pt idx="0">
                  <c:v>13.6654914541042</c:v>
                </c:pt>
                <c:pt idx="1">
                  <c:v>23.3909395798398</c:v>
                </c:pt>
                <c:pt idx="2">
                  <c:v>17.6517534449178</c:v>
                </c:pt>
                <c:pt idx="3">
                  <c:v>12.1008269885742</c:v>
                </c:pt>
                <c:pt idx="4">
                  <c:v>8.40164147858058</c:v>
                </c:pt>
                <c:pt idx="5">
                  <c:v>5.89802210163419</c:v>
                </c:pt>
                <c:pt idx="6">
                  <c:v>4.26695899428191</c:v>
                </c:pt>
                <c:pt idx="7">
                  <c:v>3.14208788576309</c:v>
                </c:pt>
                <c:pt idx="8">
                  <c:v>2.32030704815073</c:v>
                </c:pt>
                <c:pt idx="9">
                  <c:v>1.74875795481768</c:v>
                </c:pt>
                <c:pt idx="10">
                  <c:v>1.36651008738582</c:v>
                </c:pt>
                <c:pt idx="11">
                  <c:v>1.07761089875118</c:v>
                </c:pt>
                <c:pt idx="12">
                  <c:v>0.835190759392153</c:v>
                </c:pt>
                <c:pt idx="13">
                  <c:v>0.666460093114331</c:v>
                </c:pt>
                <c:pt idx="14">
                  <c:v>0.553452208601098</c:v>
                </c:pt>
                <c:pt idx="15">
                  <c:v>0.426253241816042</c:v>
                </c:pt>
                <c:pt idx="16">
                  <c:v>0.364541562945912</c:v>
                </c:pt>
                <c:pt idx="17">
                  <c:v>0.30777723385862</c:v>
                </c:pt>
                <c:pt idx="18">
                  <c:v>0.251924258678693</c:v>
                </c:pt>
                <c:pt idx="19">
                  <c:v>0.207137723802481</c:v>
                </c:pt>
                <c:pt idx="20">
                  <c:v>1.35635500098947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Bin lower bound (INR million)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5"/>
          <c:min val="0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Segment share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  <c:majorUnit val="5"/>
      </c:valAx>
    </c:plotArea>
    <c:legend>
      <c:legendPos val="t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526575"/>
              </a:solidFill>
              <a:latin typeface="Arial"/>
              <a:ea typeface="Arial"/>
            </a:defRPr>
          </a:pPr>
        </a:p>
      </c:txPr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/>
            </a:pPr>
            <a:r>
              <a:rPr lang="en-US" sz="1200" b="1">
                <a:solidFill>
                  <a:srgbClr val="163B53"/>
                </a:solidFill>
                <a:latin typeface="Arial"/>
                <a:ea typeface="Arial"/>
              </a:rPr>
              <a:t>Mean price by age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Mean price (INR)</c:v>
          </c:tx>
          <c:spPr>
            <a:ln xmlns:a="http://schemas.openxmlformats.org/drawingml/2006/main" w="25400">
              <a:solidFill>
                <a:srgbClr val="276A8A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rgbClr val="276A8A"/>
              </a:solidFill>
            </c:spPr>
          </c:marker>
          <c:cat>
            <c:strRef>
              <c:f>Chart_Data!$R$2:$R$26</c:f>
              <c:strCache>
                <c:ptCount val="25"/>
                <c:pt idx="0">
                  <c:v>1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5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>10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>15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>20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>25</c:v>
                </c:pt>
              </c:strCache>
            </c:strRef>
          </c:cat>
          <c:val>
            <c:numRef>
              <c:f>Chart_Data!$B$2:$B$26</c:f>
              <c:numCache>
                <c:formatCode>General</c:formatCode>
                <c:ptCount val="25"/>
                <c:pt idx="0">
                  <c:v>1015186.91759028</c:v>
                </c:pt>
                <c:pt idx="1">
                  <c:v>1014891.98992331</c:v>
                </c:pt>
                <c:pt idx="2">
                  <c:v>1027267.58171547</c:v>
                </c:pt>
                <c:pt idx="3">
                  <c:v>1016897.93818252</c:v>
                </c:pt>
                <c:pt idx="4">
                  <c:v>1022421.29088235</c:v>
                </c:pt>
                <c:pt idx="5">
                  <c:v>1014856.81266993</c:v>
                </c:pt>
                <c:pt idx="6">
                  <c:v>1013103.13786524</c:v>
                </c:pt>
                <c:pt idx="7">
                  <c:v>1018347.23169898</c:v>
                </c:pt>
                <c:pt idx="8">
                  <c:v>1007724.94380646</c:v>
                </c:pt>
                <c:pt idx="9">
                  <c:v>1022043.51377206</c:v>
                </c:pt>
                <c:pt idx="10">
                  <c:v>1014575.76109396</c:v>
                </c:pt>
                <c:pt idx="11">
                  <c:v>1017872.44097283</c:v>
                </c:pt>
                <c:pt idx="12">
                  <c:v>1017803.38120206</c:v>
                </c:pt>
                <c:pt idx="13">
                  <c:v>1014957.105943</c:v>
                </c:pt>
                <c:pt idx="14">
                  <c:v>1011814.51204509</c:v>
                </c:pt>
                <c:pt idx="15">
                  <c:v>1021277.7519737</c:v>
                </c:pt>
                <c:pt idx="16">
                  <c:v>1012984.96716775</c:v>
                </c:pt>
                <c:pt idx="17">
                  <c:v>1020683.08592465</c:v>
                </c:pt>
                <c:pt idx="18">
                  <c:v>1013271.34782676</c:v>
                </c:pt>
                <c:pt idx="19">
                  <c:v>1010518.05103589</c:v>
                </c:pt>
                <c:pt idx="20">
                  <c:v>1007068.89445751</c:v>
                </c:pt>
                <c:pt idx="21">
                  <c:v>1022866.09090855</c:v>
                </c:pt>
                <c:pt idx="22">
                  <c:v>1011905.5664097</c:v>
                </c:pt>
                <c:pt idx="23">
                  <c:v>1015039.9495713</c:v>
                </c:pt>
                <c:pt idx="24">
                  <c:v>1013530.5046846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Age (years)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1300000"/>
          <c:min val="0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Mean price (INR)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  <c:majorUnit val="500000"/>
      </c:valAx>
    </c:plotArea>
    <c:plotVisOnly val="1"/>
    <c:dispBlanksAs val="gap"/>
  </c:chart>
</c:chartSpace>
</file>

<file path=xl/drawings/charts/chart3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/>
            </a:pPr>
            <a:r>
              <a:rPr lang="en-US" sz="1200" b="1">
                <a:solidFill>
                  <a:srgbClr val="163B53"/>
                </a:solidFill>
                <a:latin typeface="Arial"/>
                <a:ea typeface="Arial"/>
              </a:rPr>
              <a:t>Mean price by usage decile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Mean price (INR)</c:v>
          </c:tx>
          <c:spPr>
            <a:ln xmlns:a="http://schemas.openxmlformats.org/drawingml/2006/main" w="25400">
              <a:solidFill>
                <a:srgbClr val="276A8A"/>
              </a:solidFill>
            </a:ln>
          </c:spPr>
          <c:marker>
            <c:symbol val="circle"/>
            <c:size val="3"/>
            <c:spPr>
              <a:solidFill xmlns:a="http://schemas.openxmlformats.org/drawingml/2006/main">
                <a:srgbClr val="276A8A"/>
              </a:solidFill>
            </c:spPr>
          </c:marker>
          <c:cat>
            <c:strRef>
              <c:f>Chart_Data!$E$2:$E$11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Chart_Data!$F$2:$F$11</c:f>
              <c:numCache>
                <c:formatCode>General</c:formatCode>
                <c:ptCount val="10"/>
                <c:pt idx="0">
                  <c:v>1138056.24208438</c:v>
                </c:pt>
                <c:pt idx="1">
                  <c:v>1082856.36338337</c:v>
                </c:pt>
                <c:pt idx="2">
                  <c:v>1058231.27140507</c:v>
                </c:pt>
                <c:pt idx="3">
                  <c:v>1041541.90602456</c:v>
                </c:pt>
                <c:pt idx="4">
                  <c:v>1020680.3708267</c:v>
                </c:pt>
                <c:pt idx="5">
                  <c:v>1004131.61261158</c:v>
                </c:pt>
                <c:pt idx="6">
                  <c:v>990766.615007488</c:v>
                </c:pt>
                <c:pt idx="7">
                  <c:v>969412.587486222</c:v>
                </c:pt>
                <c:pt idx="8">
                  <c:v>947606.658902065</c:v>
                </c:pt>
                <c:pt idx="9">
                  <c:v>906257.861958134</c:v>
                </c:pt>
              </c:numCache>
            </c:numRef>
          </c:val>
        </c:ser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Usage decile (low to high)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1300000"/>
          <c:min val="0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Mean price (INR)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  <c:majorUnit val="500000"/>
      </c:valAx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10</xdr:col>
      <xdr:colOff>0</xdr:colOff>
      <xdr:row>39</xdr:row>
      <xdr:rowOff>0</xdr:rowOff>
    </xdr:to>
    <xdr:graphicFrame>
      <xdr:nvGraphicFramePr>
        <xdr:cNvPr id="2" name="Primary price distributions by segmen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adcdeb5ec143bd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5</xdr:col>
      <xdr:colOff>0</xdr:colOff>
      <xdr:row>50</xdr:row>
      <xdr:rowOff>0</xdr:rowOff>
    </xdr:to>
    <xdr:graphicFrame>
      <xdr:nvGraphicFramePr>
        <xdr:cNvPr id="3" name="Mean price by ag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bf6bedadbc4c73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10</xdr:col>
      <xdr:colOff>0</xdr:colOff>
      <xdr:row>50</xdr:row>
      <xdr:rowOff>0</xdr:rowOff>
    </xdr:to>
    <xdr:graphicFrame>
      <xdr:nvGraphicFramePr>
        <xdr:cNvPr id="4" name="Mean price by usage deci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1cbe08139e44fe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9</xdr:col>
      <xdr:colOff>0</xdr:colOff>
      <xdr:row>76</xdr:row>
      <xdr:rowOff>0</xdr:rowOff>
    </xdr:to>
    <xdr:pic>
      <xdr:nvPicPr>
        <xdr:cNvPr id="5" name="Picture 5" descr="Native fixed-sample scatter exported from the complete original-data workboo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b4ffdc74cf42d2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9</xdr:col>
      <xdr:colOff>0</xdr:colOff>
      <xdr:row>95</xdr:row>
      <xdr:rowOff>0</xdr:rowOff>
    </xdr:to>
    <xdr:pic>
      <xdr:nvPicPr>
        <xdr:cNvPr id="6" name="Picture 6" descr="Native fixed-sample scatter exported from the complete original-data workbook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f156d00a9746df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0" cy="0"/>
        </a:xfrm>
        <a:prstGeom xmlns:a="http://schemas.openxmlformats.org/drawingml/2006/main"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a1c44dea5a504872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" width="40" customWidth="1"/>
    <x:col min="2" max="2" width="100" customWidth="1"/>
  </x:cols>
  <x:sheetData>
    <x:row r="1">
      <x:c r="A1" s="2" t="str">
        <x:v>COMM5000 M1 — calculation evidence</x:v>
      </x:c>
      <x:c r="B1" s="2"/>
    </x:row>
    <x:row r="2">
      <x:c r="A2" s="1" t="str">
        <x:v>Source</x:v>
      </x:c>
      <x:c r="B2" s="1" t="str">
        <x:v>Original COMM5000-Used_Car_Price_Prediction.xlsm, stored precision</x:v>
      </x:c>
    </x:row>
    <x:row r="3">
      <x:c r="A3" s="1" t="str">
        <x:v>Purpose</x:v>
      </x:c>
      <x:c r="B3" s="1" t="str">
        <x:v>Readable calculation snapshots and aggregate chart data; this file contains no original vehicle records.</x:v>
      </x:c>
    </x:row>
    <x:row r="4">
      <x:c r="A4" s="1" t="str">
        <x:v>Complete workbook</x:v>
      </x:c>
      <x:c r="B4" s="1" t="str">
        <x:v>Use the supplied Analysis_Additions archive with your original XLSM to obtain the full source, formulas, frozen candidates/sample and native scatter charts.</x:v>
      </x:c>
    </x:row>
    <x:row r="5">
      <x:c r="A5" s="1" t="str">
        <x:v>Computation</x:v>
      </x:c>
      <x:c r="B5" s="1" t="str">
        <x:v>OfficeCLI 1.0.155; native Excel formula engine. No Python analytics used.</x:v>
      </x:c>
    </x:row>
    <x:row r="6">
      <x:c r="A6" s="1" t="str">
        <x:v>Snapshots</x:v>
      </x:c>
      <x:c r="B6" s="1" t="str">
        <x:v>Statistics and correlations were calculated from all applicable original-source records, then fixed here. Source formulas are recorded as text; active original-data formulas live in the complete workbook.</x:v>
      </x:c>
    </x:row>
    <x:row r="7">
      <x:c r="A7" s="1" t="str">
        <x:v>Source precision</x:v>
      </x:c>
      <x:c r="B7" s="1" t="str">
        <x:v>Price and usage have no mode: all original values are unique. Display rounding does not change analysis values.</x:v>
      </x:c>
    </x:row>
    <x:row r="8">
      <x:c r="A8" s="1" t="str">
        <x:v>Scope</x:v>
      </x:c>
      <x:c r="B8" s="1" t="str">
        <x:v>M1 descriptive analysis only; no hypothesis tests or predictive model fitted.</x:v>
      </x:c>
    </x:row>
    <x:row r="9">
      <x:c r="A9" s="1" t="str">
        <x:v>Charts</x:v>
      </x:c>
      <x:c r="B9" s="1" t="str">
        <x:v>Scatter images are exports of native charts in the complete workbook; aggregate charts remain editable chart objects here.</x:v>
      </x:c>
    </x:row>
    <x:row r="10">
      <x:c r="A10" s="1" t="str">
        <x:v>Frozen sample</x:v>
      </x:c>
      <x:c r="B10" s="1" t="str">
        <x:v>6000 native RAND candidates; 5957 eligible unique; 5000 selected: 1194 luxury and 3806 non-luxury. Original row IDs and both fixed random columns are retained in the complete workbook.</x:v>
      </x:c>
    </x:row>
    <x:row r="11">
      <x:c r="A11" s="1"/>
      <x:c r="B11" s="1"/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Original workbook provenance</x:v>
      </x:c>
    </x:row>
    <x:row r="3">
      <x:c r="A3" t="str">
        <x:v>Original file SHA256</x:v>
      </x:c>
      <x:c r="B3" t="str">
        <x:v>98e355ae5581b41e2f779d0887a458d9f9f9b2c12636b307c95a499cf9821e01</x:v>
      </x:c>
    </x:row>
    <x:row r="6">
      <x:c r="A6" t="str">
        <x:v>Original Dataset!B6</x:v>
      </x:c>
      <x:c r="B6" t="str">
        <x:v>Data randomisation was applied for university assessment purposes on 2026-10-07 06:20:30. The randomised data in this Excel file likely differs from the original. DO NOT DELETE THIS TEXT.</x:v>
      </x:c>
    </x:row>
  </x:sheetData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" width="15" customWidth="1"/>
    <x:col min="2" max="2" width="18" customWidth="1"/>
    <x:col min="3" max="3" width="23" customWidth="1"/>
    <x:col min="4" max="4" width="15" customWidth="1"/>
    <x:col min="5" max="5" width="22" customWidth="1"/>
    <x:col min="6" max="6" width="22" customWidth="1"/>
    <x:col min="7" max="7" width="34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</x:cols>
  <x:sheetData>
    <x:row r="1">
      <x:c r="A1" s="2" t="str">
        <x:v>Cohort</x:v>
      </x:c>
      <x:c r="B1" s="2" t="str">
        <x:v>Segment</x:v>
      </x:c>
      <x:c r="C1" s="2" t="str">
        <x:v>Variable</x:v>
      </x:c>
      <x:c r="D1" s="2" t="str">
        <x:v>Valid n</x:v>
      </x:c>
      <x:c r="E1" s="2" t="str">
        <x:v>Mean</x:v>
      </x:c>
      <x:c r="F1" s="2" t="str">
        <x:v>Median</x:v>
      </x:c>
      <x:c r="G1" s="2" t="str">
        <x:v>Mode(s)</x:v>
      </x:c>
      <x:c r="H1" s="2" t="str">
        <x:v>Sample SD</x:v>
      </x:c>
      <x:c r="I1" s="2" t="str">
        <x:v>Min</x:v>
      </x:c>
      <x:c r="J1" s="2" t="str">
        <x:v>Q1</x:v>
      </x:c>
      <x:c r="K1" s="2" t="str">
        <x:v>Q3</x:v>
      </x:c>
      <x:c r="L1" s="2" t="str">
        <x:v>Max</x:v>
      </x:c>
      <x:c r="M1" s="2" t="str">
        <x:v>IQR</x:v>
      </x:c>
    </x:row>
    <x:row r="2">
      <x:c r="A2" s="1" t="str">
        <x:v>Full</x:v>
      </x:c>
      <x:c r="B2" s="1" t="str">
        <x:v>All</x:v>
      </x:c>
      <x:c r="C2" s="1" t="str">
        <x:v>Car_Price</x:v>
      </x:c>
      <x:c r="D2" s="3">
        <x:v>1005000</x:v>
      </x:c>
      <x:c r="E2" s="4">
        <x:v>1014767.44634524</x:v>
      </x:c>
      <x:c r="F2" s="4">
        <x:v>673122.88053811</x:v>
      </x:c>
      <x:c r="G2" s="1" t="str">
        <x:v>No mode — all values unique</x:v>
      </x:c>
      <x:c r="H2" s="4">
        <x:v>1140068.73307298</x:v>
      </x:c>
      <x:c r="I2" s="4">
        <x:v>10358.3799505345</x:v>
      </x:c>
      <x:c r="J2" s="4">
        <x:v>365296.320371218</x:v>
      </x:c>
      <x:c r="K2" s="4">
        <x:v>1241926.5859927</x:v>
      </x:c>
      <x:c r="L2" s="4">
        <x:v>46802453.1696886</x:v>
      </x:c>
      <x:c r="M2" s="4">
        <x:v>876630.265621482</x:v>
      </x:c>
    </x:row>
    <x:row r="3">
      <x:c r="A3" s="1" t="str">
        <x:v>Full</x:v>
      </x:c>
      <x:c r="B3" s="1" t="str">
        <x:v>All</x:v>
      </x:c>
      <x:c r="C3" s="1" t="str">
        <x:v>Registration_Age</x:v>
      </x:c>
      <x:c r="D3" s="3">
        <x:v>1005000</x:v>
      </x:c>
      <x:c r="E3" s="4">
        <x:v>13.0042895522388</x:v>
      </x:c>
      <x:c r="F3" s="4">
        <x:v>13</x:v>
      </x:c>
      <x:c r="G3" s="1">
        <x:v>6</x:v>
      </x:c>
      <x:c r="H3" s="4">
        <x:v>7.21148562287356</x:v>
      </x:c>
      <x:c r="I3" s="4">
        <x:v>1</x:v>
      </x:c>
      <x:c r="J3" s="4">
        <x:v>7</x:v>
      </x:c>
      <x:c r="K3" s="4">
        <x:v>19</x:v>
      </x:c>
      <x:c r="L3" s="4">
        <x:v>25</x:v>
      </x:c>
      <x:c r="M3" s="4">
        <x:v>12</x:v>
      </x:c>
    </x:row>
    <x:row r="4">
      <x:c r="A4" s="1" t="str">
        <x:v>Full</x:v>
      </x:c>
      <x:c r="B4" s="1" t="str">
        <x:v>All</x:v>
      </x:c>
      <x:c r="C4" s="1" t="str">
        <x:v>Kms_Driven</x:v>
      </x:c>
      <x:c r="D4" s="3">
        <x:v>1005000</x:v>
      </x:c>
      <x:c r="E4" s="4">
        <x:v>203035.2420455</x:v>
      </x:c>
      <x:c r="F4" s="4">
        <x:v>153498.552926121</x:v>
      </x:c>
      <x:c r="G4" s="1" t="str">
        <x:v>No mode — all values unique</x:v>
      </x:c>
      <x:c r="H4" s="4">
        <x:v>175850.494163058</x:v>
      </x:c>
      <x:c r="I4" s="4">
        <x:v>4508.65358809465</x:v>
      </x:c>
      <x:c r="J4" s="4">
        <x:v>92716.6496861616</x:v>
      </x:c>
      <x:c r="K4" s="4">
        <x:v>254383.536453675</x:v>
      </x:c>
      <x:c r="L4" s="4">
        <x:v>6259464.75882513</x:v>
      </x:c>
      <x:c r="M4" s="4">
        <x:v>161666.886767513</x:v>
      </x:c>
    </x:row>
    <x:row r="5">
      <x:c r="A5" s="1" t="str">
        <x:v>Full</x:v>
      </x:c>
      <x:c r="B5" s="1" t="str">
        <x:v>Luxury</x:v>
      </x:c>
      <x:c r="C5" s="1" t="str">
        <x:v>Car_Price</x:v>
      </x:c>
      <x:c r="D5" s="3">
        <x:v>232172</x:v>
      </x:c>
      <x:c r="E5" s="4">
        <x:v>1012960.56185074</x:v>
      </x:c>
      <x:c r="F5" s="4">
        <x:v>672805.040183102</x:v>
      </x:c>
      <x:c r="G5" s="1" t="str">
        <x:v>No mode — all values unique</x:v>
      </x:c>
      <x:c r="H5" s="4">
        <x:v>1129066.41272562</x:v>
      </x:c>
      <x:c r="I5" s="4">
        <x:v>11535.0369480917</x:v>
      </x:c>
      <x:c r="J5" s="4">
        <x:v>364779.740824713</x:v>
      </x:c>
      <x:c r="K5" s="4">
        <x:v>1245236.60539612</x:v>
      </x:c>
      <x:c r="L5" s="4">
        <x:v>46802453.1696886</x:v>
      </x:c>
      <x:c r="M5" s="4">
        <x:v>880456.864571407</x:v>
      </x:c>
    </x:row>
    <x:row r="6">
      <x:c r="A6" s="1" t="str">
        <x:v>Full</x:v>
      </x:c>
      <x:c r="B6" s="1" t="str">
        <x:v>Luxury</x:v>
      </x:c>
      <x:c r="C6" s="1" t="str">
        <x:v>Registration_Age</x:v>
      </x:c>
      <x:c r="D6" s="3">
        <x:v>232172</x:v>
      </x:c>
      <x:c r="E6" s="4">
        <x:v>13.0196836827869</x:v>
      </x:c>
      <x:c r="F6" s="4">
        <x:v>13</x:v>
      </x:c>
      <x:c r="G6" s="1">
        <x:v>18</x:v>
      </x:c>
      <x:c r="H6" s="4">
        <x:v>7.20640388989035</x:v>
      </x:c>
      <x:c r="I6" s="4">
        <x:v>1</x:v>
      </x:c>
      <x:c r="J6" s="4">
        <x:v>7</x:v>
      </x:c>
      <x:c r="K6" s="4">
        <x:v>19</x:v>
      </x:c>
      <x:c r="L6" s="4">
        <x:v>25</x:v>
      </x:c>
      <x:c r="M6" s="4">
        <x:v>12</x:v>
      </x:c>
    </x:row>
    <x:row r="7">
      <x:c r="A7" s="1" t="str">
        <x:v>Full</x:v>
      </x:c>
      <x:c r="B7" s="1" t="str">
        <x:v>Luxury</x:v>
      </x:c>
      <x:c r="C7" s="1" t="str">
        <x:v>Kms_Driven</x:v>
      </x:c>
      <x:c r="D7" s="3">
        <x:v>232172</x:v>
      </x:c>
      <x:c r="E7" s="4">
        <x:v>202876.73762137</x:v>
      </x:c>
      <x:c r="F7" s="4">
        <x:v>153248.920805311</x:v>
      </x:c>
      <x:c r="G7" s="1" t="str">
        <x:v>No mode — all values unique</x:v>
      </x:c>
      <x:c r="H7" s="4">
        <x:v>175661.158434402</x:v>
      </x:c>
      <x:c r="I7" s="4">
        <x:v>4508.65358809465</x:v>
      </x:c>
      <x:c r="J7" s="4">
        <x:v>92762.6306351049</x:v>
      </x:c>
      <x:c r="K7" s="4">
        <x:v>253911.688473814</x:v>
      </x:c>
      <x:c r="L7" s="4">
        <x:v>4129838.80803218</x:v>
      </x:c>
      <x:c r="M7" s="4">
        <x:v>161149.057838709</x:v>
      </x:c>
    </x:row>
    <x:row r="8">
      <x:c r="A8" s="1" t="str">
        <x:v>Full</x:v>
      </x:c>
      <x:c r="B8" s="1" t="str">
        <x:v>Non-luxury</x:v>
      </x:c>
      <x:c r="C8" s="1" t="str">
        <x:v>Car_Price</x:v>
      </x:c>
      <x:c r="D8" s="3">
        <x:v>772828</x:v>
      </x:c>
      <x:c r="E8" s="4">
        <x:v>1015310.26827567</x:v>
      </x:c>
      <x:c r="F8" s="4">
        <x:v>673235.134777549</x:v>
      </x:c>
      <x:c r="G8" s="1" t="str">
        <x:v>No mode — all values unique</x:v>
      </x:c>
      <x:c r="H8" s="4">
        <x:v>1143353.52324669</x:v>
      </x:c>
      <x:c r="I8" s="4">
        <x:v>10358.3799505345</x:v>
      </x:c>
      <x:c r="J8" s="4">
        <x:v>365484.297552187</x:v>
      </x:c>
      <x:c r="K8" s="4">
        <x:v>1240864.69332962</x:v>
      </x:c>
      <x:c r="L8" s="4">
        <x:v>38036383.6458545</x:v>
      </x:c>
      <x:c r="M8" s="4">
        <x:v>875380.39577743</x:v>
      </x:c>
    </x:row>
    <x:row r="9">
      <x:c r="A9" s="1" t="str">
        <x:v>Full</x:v>
      </x:c>
      <x:c r="B9" s="1" t="str">
        <x:v>Non-luxury</x:v>
      </x:c>
      <x:c r="C9" s="1" t="str">
        <x:v>Registration_Age</x:v>
      </x:c>
      <x:c r="D9" s="3">
        <x:v>772828</x:v>
      </x:c>
      <x:c r="E9" s="4">
        <x:v>12.999664867215</x:v>
      </x:c>
      <x:c r="F9" s="4">
        <x:v>13</x:v>
      </x:c>
      <x:c r="G9" s="1">
        <x:v>19</x:v>
      </x:c>
      <x:c r="H9" s="4">
        <x:v>7.213009813702</x:v>
      </x:c>
      <x:c r="I9" s="4">
        <x:v>1</x:v>
      </x:c>
      <x:c r="J9" s="4">
        <x:v>7</x:v>
      </x:c>
      <x:c r="K9" s="4">
        <x:v>19</x:v>
      </x:c>
      <x:c r="L9" s="4">
        <x:v>25</x:v>
      </x:c>
      <x:c r="M9" s="4">
        <x:v>12</x:v>
      </x:c>
    </x:row>
    <x:row r="10">
      <x:c r="A10" s="1" t="str">
        <x:v>Full</x:v>
      </x:c>
      <x:c r="B10" s="1" t="str">
        <x:v>Non-luxury</x:v>
      </x:c>
      <x:c r="C10" s="1" t="str">
        <x:v>Kms_Driven</x:v>
      </x:c>
      <x:c r="D10" s="3">
        <x:v>772828</x:v>
      </x:c>
      <x:c r="E10" s="4">
        <x:v>203082.859742017</x:v>
      </x:c>
      <x:c r="F10" s="4">
        <x:v>153580.794832101</x:v>
      </x:c>
      <x:c r="G10" s="1" t="str">
        <x:v>No mode — all values unique</x:v>
      </x:c>
      <x:c r="H10" s="4">
        <x:v>175907.420017977</x:v>
      </x:c>
      <x:c r="I10" s="4">
        <x:v>4652.44002229919</x:v>
      </x:c>
      <x:c r="J10" s="4">
        <x:v>92698.8882818118</x:v>
      </x:c>
      <x:c r="K10" s="4">
        <x:v>254530.892089953</x:v>
      </x:c>
      <x:c r="L10" s="4">
        <x:v>6259464.75882513</x:v>
      </x:c>
      <x:c r="M10" s="4">
        <x:v>161832.003808142</x:v>
      </x:c>
    </x:row>
    <x:row r="11">
      <x:c r="A11" s="1" t="str">
        <x:v>Screened</x:v>
      </x:c>
      <x:c r="B11" s="1" t="str">
        <x:v>All</x:v>
      </x:c>
      <x:c r="C11" s="1" t="str">
        <x:v>Car_Price</x:v>
      </x:c>
      <x:c r="D11" s="3">
        <x:v>998849</x:v>
      </x:c>
      <x:c r="E11" s="4">
        <x:v>1015954.16080512</x:v>
      </x:c>
      <x:c r="F11" s="4">
        <x:v>673944.31760503</x:v>
      </x:c>
      <x:c r="G11" s="1" t="str">
        <x:v>No mode — all values unique</x:v>
      </x:c>
      <x:c r="H11" s="4">
        <x:v>1141022.76091351</x:v>
      </x:c>
      <x:c r="I11" s="4">
        <x:v>10358.3799505345</x:v>
      </x:c>
      <x:c r="J11" s="4">
        <x:v>365717.971134828</x:v>
      </x:c>
      <x:c r="K11" s="4">
        <x:v>1243444.91557261</x:v>
      </x:c>
      <x:c r="L11" s="4">
        <x:v>46802453.1696886</x:v>
      </x:c>
      <x:c r="M11" s="4">
        <x:v>877726.944437783</x:v>
      </x:c>
    </x:row>
    <x:row r="12">
      <x:c r="A12" s="1" t="str">
        <x:v>Screened</x:v>
      </x:c>
      <x:c r="B12" s="1" t="str">
        <x:v>All</x:v>
      </x:c>
      <x:c r="C12" s="1" t="str">
        <x:v>Registration_Age</x:v>
      </x:c>
      <x:c r="D12" s="3">
        <x:v>998849</x:v>
      </x:c>
      <x:c r="E12" s="4">
        <x:v>13.0047474643314</x:v>
      </x:c>
      <x:c r="F12" s="4">
        <x:v>13</x:v>
      </x:c>
      <x:c r="G12" s="1">
        <x:v>6</x:v>
      </x:c>
      <x:c r="H12" s="4">
        <x:v>7.21146847511244</x:v>
      </x:c>
      <x:c r="I12" s="4">
        <x:v>1</x:v>
      </x:c>
      <x:c r="J12" s="4">
        <x:v>7</x:v>
      </x:c>
      <x:c r="K12" s="4">
        <x:v>19</x:v>
      </x:c>
      <x:c r="L12" s="4">
        <x:v>25</x:v>
      </x:c>
      <x:c r="M12" s="4">
        <x:v>12</x:v>
      </x:c>
    </x:row>
    <x:row r="13">
      <x:c r="A13" s="1" t="str">
        <x:v>Screened</x:v>
      </x:c>
      <x:c r="B13" s="1" t="str">
        <x:v>All</x:v>
      </x:c>
      <x:c r="C13" s="1" t="str">
        <x:v>Kms_Driven</x:v>
      </x:c>
      <x:c r="D13" s="3">
        <x:v>998849</x:v>
      </x:c>
      <x:c r="E13" s="4">
        <x:v>196221.473156135</x:v>
      </x:c>
      <x:c r="F13" s="4">
        <x:v>152632.387821206</x:v>
      </x:c>
      <x:c r="G13" s="1" t="str">
        <x:v>No mode — all values unique</x:v>
      </x:c>
      <x:c r="H13" s="4">
        <x:v>150667.185378935</x:v>
      </x:c>
      <x:c r="I13" s="4">
        <x:v>4508.65358809465</x:v>
      </x:c>
      <x:c r="J13" s="4">
        <x:v>92384.3469539638</x:v>
      </x:c>
      <x:c r="K13" s="4">
        <x:v>251666.916838318</x:v>
      </x:c>
      <x:c r="L13" s="4">
        <x:v>999934.782605851</x:v>
      </x:c>
      <x:c r="M13" s="4">
        <x:v>159282.569884354</x:v>
      </x:c>
    </x:row>
    <x:row r="14">
      <x:c r="A14" s="1" t="str">
        <x:v>Screened</x:v>
      </x:c>
      <x:c r="B14" s="1" t="str">
        <x:v>Luxury</x:v>
      </x:c>
      <x:c r="C14" s="1" t="str">
        <x:v>Car_Price</x:v>
      </x:c>
      <x:c r="D14" s="3">
        <x:v>230761</x:v>
      </x:c>
      <x:c r="E14" s="4">
        <x:v>1014111.80352558</x:v>
      </x:c>
      <x:c r="F14" s="4">
        <x:v>673608.933602989</x:v>
      </x:c>
      <x:c r="G14" s="1" t="str">
        <x:v>No mode — all values unique</x:v>
      </x:c>
      <x:c r="H14" s="4">
        <x:v>1130277.47929433</x:v>
      </x:c>
      <x:c r="I14" s="4">
        <x:v>11535.0369480917</x:v>
      </x:c>
      <x:c r="J14" s="4">
        <x:v>365046.349174318</x:v>
      </x:c>
      <x:c r="K14" s="4">
        <x:v>1246580.12278278</x:v>
      </x:c>
      <x:c r="L14" s="4">
        <x:v>46802453.1696886</x:v>
      </x:c>
      <x:c r="M14" s="4">
        <x:v>881533.773608464</x:v>
      </x:c>
    </x:row>
    <x:row r="15">
      <x:c r="A15" s="1" t="str">
        <x:v>Screened</x:v>
      </x:c>
      <x:c r="B15" s="1" t="str">
        <x:v>Luxury</x:v>
      </x:c>
      <x:c r="C15" s="1" t="str">
        <x:v>Registration_Age</x:v>
      </x:c>
      <x:c r="D15" s="3">
        <x:v>230761</x:v>
      </x:c>
      <x:c r="E15" s="4">
        <x:v>13.0204107279826</x:v>
      </x:c>
      <x:c r="F15" s="4">
        <x:v>13</x:v>
      </x:c>
      <x:c r="G15" s="1">
        <x:v>18</x:v>
      </x:c>
      <x:c r="H15" s="4">
        <x:v>7.2069788195502</x:v>
      </x:c>
      <x:c r="I15" s="4">
        <x:v>1</x:v>
      </x:c>
      <x:c r="J15" s="4">
        <x:v>7</x:v>
      </x:c>
      <x:c r="K15" s="4">
        <x:v>19</x:v>
      </x:c>
      <x:c r="L15" s="4">
        <x:v>25</x:v>
      </x:c>
      <x:c r="M15" s="4">
        <x:v>12</x:v>
      </x:c>
    </x:row>
    <x:row r="16">
      <x:c r="A16" s="1" t="str">
        <x:v>Screened</x:v>
      </x:c>
      <x:c r="B16" s="1" t="str">
        <x:v>Luxury</x:v>
      </x:c>
      <x:c r="C16" s="1" t="str">
        <x:v>Kms_Driven</x:v>
      </x:c>
      <x:c r="D16" s="3">
        <x:v>230761</x:v>
      </x:c>
      <x:c r="E16" s="4">
        <x:v>196139.0121258</x:v>
      </x:c>
      <x:c r="F16" s="4">
        <x:v>152420.471173873</x:v>
      </x:c>
      <x:c r="G16" s="1" t="str">
        <x:v>No mode — all values unique</x:v>
      </x:c>
      <x:c r="H16" s="4">
        <x:v>150850.708872381</x:v>
      </x:c>
      <x:c r="I16" s="4">
        <x:v>4508.65358809465</x:v>
      </x:c>
      <x:c r="J16" s="4">
        <x:v>92424.3969881056</x:v>
      </x:c>
      <x:c r="K16" s="4">
        <x:v>251372.133019731</x:v>
      </x:c>
      <x:c r="L16" s="4">
        <x:v>999501.725428347</x:v>
      </x:c>
      <x:c r="M16" s="4">
        <x:v>158947.736031625</x:v>
      </x:c>
    </x:row>
    <x:row r="17">
      <x:c r="A17" s="1" t="str">
        <x:v>Screened</x:v>
      </x:c>
      <x:c r="B17" s="1" t="str">
        <x:v>Non-luxury</x:v>
      </x:c>
      <x:c r="C17" s="1" t="str">
        <x:v>Car_Price</x:v>
      </x:c>
      <x:c r="D17" s="3">
        <x:v>768088</x:v>
      </x:c>
      <x:c r="E17" s="4">
        <x:v>1016507.67056987</x:v>
      </x:c>
      <x:c r="F17" s="4">
        <x:v>674044.370619164</x:v>
      </x:c>
      <x:c r="G17" s="1" t="str">
        <x:v>No mode — all values unique</x:v>
      </x:c>
      <x:c r="H17" s="4">
        <x:v>1144231.46592772</x:v>
      </x:c>
      <x:c r="I17" s="4">
        <x:v>10358.3799505345</x:v>
      </x:c>
      <x:c r="J17" s="4">
        <x:v>365923.385123032</x:v>
      </x:c>
      <x:c r="K17" s="4">
        <x:v>1242569.55160788</x:v>
      </x:c>
      <x:c r="L17" s="4">
        <x:v>38036383.6458545</x:v>
      </x:c>
      <x:c r="M17" s="4">
        <x:v>876646.166484844</x:v>
      </x:c>
    </x:row>
    <x:row r="18">
      <x:c r="A18" s="1" t="str">
        <x:v>Screened</x:v>
      </x:c>
      <x:c r="B18" s="1" t="str">
        <x:v>Non-luxury</x:v>
      </x:c>
      <x:c r="C18" s="1" t="str">
        <x:v>Registration_Age</x:v>
      </x:c>
      <x:c r="D18" s="3">
        <x:v>768088</x:v>
      </x:c>
      <x:c r="E18" s="4">
        <x:v>13.0000416618929</x:v>
      </x:c>
      <x:c r="F18" s="4">
        <x:v>13</x:v>
      </x:c>
      <x:c r="G18" s="1">
        <x:v>19</x:v>
      </x:c>
      <x:c r="H18" s="4">
        <x:v>7.21281482649813</x:v>
      </x:c>
      <x:c r="I18" s="4">
        <x:v>1</x:v>
      </x:c>
      <x:c r="J18" s="4">
        <x:v>7</x:v>
      </x:c>
      <x:c r="K18" s="4">
        <x:v>19</x:v>
      </x:c>
      <x:c r="L18" s="4">
        <x:v>25</x:v>
      </x:c>
      <x:c r="M18" s="4">
        <x:v>12</x:v>
      </x:c>
    </x:row>
    <x:row r="19">
      <x:c r="A19" s="1" t="str">
        <x:v>Screened</x:v>
      </x:c>
      <x:c r="B19" s="1" t="str">
        <x:v>Non-luxury</x:v>
      </x:c>
      <x:c r="C19" s="1" t="str">
        <x:v>Kms_Driven</x:v>
      </x:c>
      <x:c r="D19" s="3">
        <x:v>768088</x:v>
      </x:c>
      <x:c r="E19" s="4">
        <x:v>196246.247387502</x:v>
      </x:c>
      <x:c r="F19" s="4">
        <x:v>152693.822009875</x:v>
      </x:c>
      <x:c r="G19" s="1" t="str">
        <x:v>No mode — all values unique</x:v>
      </x:c>
      <x:c r="H19" s="4">
        <x:v>150612.094161044</x:v>
      </x:c>
      <x:c r="I19" s="4">
        <x:v>4652.44002229919</x:v>
      </x:c>
      <x:c r="J19" s="4">
        <x:v>92372.3926413009</x:v>
      </x:c>
      <x:c r="K19" s="4">
        <x:v>251751.324731884</x:v>
      </x:c>
      <x:c r="L19" s="4">
        <x:v>999934.782605851</x:v>
      </x:c>
      <x:c r="M19" s="4">
        <x:v>159378.932090583</x:v>
      </x:c>
    </x:row>
  </x:sheetData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" width="15" customWidth="1"/>
    <x:col min="2" max="2" width="18" customWidth="1"/>
    <x:col min="3" max="3" width="23" customWidth="1"/>
    <x:col min="4" max="4" width="15" customWidth="1"/>
    <x:col min="5" max="5" width="22" customWidth="1"/>
    <x:col min="6" max="6" width="22" customWidth="1"/>
    <x:col min="7" max="7" width="34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</x:cols>
  <x:sheetData>
    <x:row r="1">
      <x:c r="A1" s="2" t="str">
        <x:f>Snapshots!A1</x:f>
        <x:v>Cohort</x:v>
      </x:c>
      <x:c r="B1" s="2" t="str">
        <x:f>Snapshots!B1</x:f>
        <x:v>Segment</x:v>
      </x:c>
      <x:c r="C1" s="2" t="str">
        <x:f>Snapshots!C1</x:f>
        <x:v>Variable</x:v>
      </x:c>
      <x:c r="D1" s="2" t="str">
        <x:f>Snapshots!D1</x:f>
        <x:v>Valid n</x:v>
      </x:c>
      <x:c r="E1" s="2" t="str">
        <x:f>Snapshots!E1</x:f>
        <x:v>Mean</x:v>
      </x:c>
      <x:c r="F1" s="2" t="str">
        <x:f>Snapshots!F1</x:f>
        <x:v>Median</x:v>
      </x:c>
      <x:c r="G1" s="2" t="str">
        <x:f>Snapshots!G1</x:f>
        <x:v>Mode(s)</x:v>
      </x:c>
      <x:c r="H1" s="2" t="str">
        <x:f>Snapshots!H1</x:f>
        <x:v>Sample SD</x:v>
      </x:c>
      <x:c r="I1" s="2" t="str">
        <x:f>Snapshots!I1</x:f>
        <x:v>Min</x:v>
      </x:c>
      <x:c r="J1" s="2" t="str">
        <x:f>Snapshots!J1</x:f>
        <x:v>Q1</x:v>
      </x:c>
      <x:c r="K1" s="2" t="str">
        <x:f>Snapshots!K1</x:f>
        <x:v>Q3</x:v>
      </x:c>
      <x:c r="L1" s="2" t="str">
        <x:f>Snapshots!L1</x:f>
        <x:v>Max</x:v>
      </x:c>
      <x:c r="M1" s="2" t="str">
        <x:f>Snapshots!M1</x:f>
        <x:v>IQR</x:v>
      </x:c>
    </x:row>
    <x:row r="2">
      <x:c r="A2" s="1" t="str">
        <x:f>Snapshots!A2</x:f>
        <x:v>Full</x:v>
      </x:c>
      <x:c r="B2" s="1" t="str">
        <x:f>Snapshots!B2</x:f>
        <x:v>All</x:v>
      </x:c>
      <x:c r="C2" s="1" t="str">
        <x:f>Snapshots!C2</x:f>
        <x:v>Car_Price</x:v>
      </x:c>
      <x:c r="D2" s="3">
        <x:f>Snapshots!D2</x:f>
        <x:v>1005000</x:v>
      </x:c>
      <x:c r="E2" s="4">
        <x:f>Snapshots!E2</x:f>
        <x:v>1014767.44634524</x:v>
      </x:c>
      <x:c r="F2" s="4">
        <x:f>Snapshots!F2</x:f>
        <x:v>673122.88053811</x:v>
      </x:c>
      <x:c r="G2" s="1" t="str">
        <x:f>Snapshots!G2</x:f>
        <x:v>No mode — all values unique</x:v>
      </x:c>
      <x:c r="H2" s="4">
        <x:f>Snapshots!H2</x:f>
        <x:v>1140068.73307298</x:v>
      </x:c>
      <x:c r="I2" s="4">
        <x:f>Snapshots!I2</x:f>
        <x:v>10358.3799505345</x:v>
      </x:c>
      <x:c r="J2" s="4">
        <x:f>Snapshots!J2</x:f>
        <x:v>365296.320371218</x:v>
      </x:c>
      <x:c r="K2" s="4">
        <x:f>Snapshots!K2</x:f>
        <x:v>1241926.5859927</x:v>
      </x:c>
      <x:c r="L2" s="4">
        <x:f>Snapshots!L2</x:f>
        <x:v>46802453.1696886</x:v>
      </x:c>
      <x:c r="M2" s="4">
        <x:f>Snapshots!M2</x:f>
        <x:v>876630.265621482</x:v>
      </x:c>
    </x:row>
    <x:row r="3">
      <x:c r="A3" s="1" t="str">
        <x:f>Snapshots!A3</x:f>
        <x:v>Full</x:v>
      </x:c>
      <x:c r="B3" s="1" t="str">
        <x:f>Snapshots!B3</x:f>
        <x:v>All</x:v>
      </x:c>
      <x:c r="C3" s="1" t="str">
        <x:f>Snapshots!C3</x:f>
        <x:v>Registration_Age</x:v>
      </x:c>
      <x:c r="D3" s="3">
        <x:f>Snapshots!D3</x:f>
        <x:v>1005000</x:v>
      </x:c>
      <x:c r="E3" s="4">
        <x:f>Snapshots!E3</x:f>
        <x:v>13.0042895522388</x:v>
      </x:c>
      <x:c r="F3" s="4">
        <x:f>Snapshots!F3</x:f>
        <x:v>13</x:v>
      </x:c>
      <x:c r="G3" s="1">
        <x:f>Snapshots!G3</x:f>
        <x:v>6</x:v>
      </x:c>
      <x:c r="H3" s="4">
        <x:f>Snapshots!H3</x:f>
        <x:v>7.21148562287356</x:v>
      </x:c>
      <x:c r="I3" s="4">
        <x:f>Snapshots!I3</x:f>
        <x:v>1</x:v>
      </x:c>
      <x:c r="J3" s="4">
        <x:f>Snapshots!J3</x:f>
        <x:v>7</x:v>
      </x:c>
      <x:c r="K3" s="4">
        <x:f>Snapshots!K3</x:f>
        <x:v>19</x:v>
      </x:c>
      <x:c r="L3" s="4">
        <x:f>Snapshots!L3</x:f>
        <x:v>25</x:v>
      </x:c>
      <x:c r="M3" s="4">
        <x:f>Snapshots!M3</x:f>
        <x:v>12</x:v>
      </x:c>
    </x:row>
    <x:row r="4">
      <x:c r="A4" s="1" t="str">
        <x:f>Snapshots!A4</x:f>
        <x:v>Full</x:v>
      </x:c>
      <x:c r="B4" s="1" t="str">
        <x:f>Snapshots!B4</x:f>
        <x:v>All</x:v>
      </x:c>
      <x:c r="C4" s="1" t="str">
        <x:f>Snapshots!C4</x:f>
        <x:v>Kms_Driven</x:v>
      </x:c>
      <x:c r="D4" s="3">
        <x:f>Snapshots!D4</x:f>
        <x:v>1005000</x:v>
      </x:c>
      <x:c r="E4" s="4">
        <x:f>Snapshots!E4</x:f>
        <x:v>203035.2420455</x:v>
      </x:c>
      <x:c r="F4" s="4">
        <x:f>Snapshots!F4</x:f>
        <x:v>153498.552926121</x:v>
      </x:c>
      <x:c r="G4" s="1" t="str">
        <x:f>Snapshots!G4</x:f>
        <x:v>No mode — all values unique</x:v>
      </x:c>
      <x:c r="H4" s="4">
        <x:f>Snapshots!H4</x:f>
        <x:v>175850.494163058</x:v>
      </x:c>
      <x:c r="I4" s="4">
        <x:f>Snapshots!I4</x:f>
        <x:v>4508.65358809465</x:v>
      </x:c>
      <x:c r="J4" s="4">
        <x:f>Snapshots!J4</x:f>
        <x:v>92716.6496861616</x:v>
      </x:c>
      <x:c r="K4" s="4">
        <x:f>Snapshots!K4</x:f>
        <x:v>254383.536453675</x:v>
      </x:c>
      <x:c r="L4" s="4">
        <x:f>Snapshots!L4</x:f>
        <x:v>6259464.75882513</x:v>
      </x:c>
      <x:c r="M4" s="4">
        <x:f>Snapshots!M4</x:f>
        <x:v>161666.886767513</x:v>
      </x:c>
    </x:row>
    <x:row r="5">
      <x:c r="A5" s="1" t="str">
        <x:f>Snapshots!A5</x:f>
        <x:v>Full</x:v>
      </x:c>
      <x:c r="B5" s="1" t="str">
        <x:f>Snapshots!B5</x:f>
        <x:v>Luxury</x:v>
      </x:c>
      <x:c r="C5" s="1" t="str">
        <x:f>Snapshots!C5</x:f>
        <x:v>Car_Price</x:v>
      </x:c>
      <x:c r="D5" s="3">
        <x:f>Snapshots!D5</x:f>
        <x:v>232172</x:v>
      </x:c>
      <x:c r="E5" s="4">
        <x:f>Snapshots!E5</x:f>
        <x:v>1012960.56185074</x:v>
      </x:c>
      <x:c r="F5" s="4">
        <x:f>Snapshots!F5</x:f>
        <x:v>672805.040183102</x:v>
      </x:c>
      <x:c r="G5" s="1" t="str">
        <x:f>Snapshots!G5</x:f>
        <x:v>No mode — all values unique</x:v>
      </x:c>
      <x:c r="H5" s="4">
        <x:f>Snapshots!H5</x:f>
        <x:v>1129066.41272562</x:v>
      </x:c>
      <x:c r="I5" s="4">
        <x:f>Snapshots!I5</x:f>
        <x:v>11535.0369480917</x:v>
      </x:c>
      <x:c r="J5" s="4">
        <x:f>Snapshots!J5</x:f>
        <x:v>364779.740824713</x:v>
      </x:c>
      <x:c r="K5" s="4">
        <x:f>Snapshots!K5</x:f>
        <x:v>1245236.60539612</x:v>
      </x:c>
      <x:c r="L5" s="4">
        <x:f>Snapshots!L5</x:f>
        <x:v>46802453.1696886</x:v>
      </x:c>
      <x:c r="M5" s="4">
        <x:f>Snapshots!M5</x:f>
        <x:v>880456.864571407</x:v>
      </x:c>
    </x:row>
    <x:row r="6">
      <x:c r="A6" s="1" t="str">
        <x:f>Snapshots!A6</x:f>
        <x:v>Full</x:v>
      </x:c>
      <x:c r="B6" s="1" t="str">
        <x:f>Snapshots!B6</x:f>
        <x:v>Luxury</x:v>
      </x:c>
      <x:c r="C6" s="1" t="str">
        <x:f>Snapshots!C6</x:f>
        <x:v>Registration_Age</x:v>
      </x:c>
      <x:c r="D6" s="3">
        <x:f>Snapshots!D6</x:f>
        <x:v>232172</x:v>
      </x:c>
      <x:c r="E6" s="4">
        <x:f>Snapshots!E6</x:f>
        <x:v>13.0196836827869</x:v>
      </x:c>
      <x:c r="F6" s="4">
        <x:f>Snapshots!F6</x:f>
        <x:v>13</x:v>
      </x:c>
      <x:c r="G6" s="1">
        <x:f>Snapshots!G6</x:f>
        <x:v>18</x:v>
      </x:c>
      <x:c r="H6" s="4">
        <x:f>Snapshots!H6</x:f>
        <x:v>7.20640388989035</x:v>
      </x:c>
      <x:c r="I6" s="4">
        <x:f>Snapshots!I6</x:f>
        <x:v>1</x:v>
      </x:c>
      <x:c r="J6" s="4">
        <x:f>Snapshots!J6</x:f>
        <x:v>7</x:v>
      </x:c>
      <x:c r="K6" s="4">
        <x:f>Snapshots!K6</x:f>
        <x:v>19</x:v>
      </x:c>
      <x:c r="L6" s="4">
        <x:f>Snapshots!L6</x:f>
        <x:v>25</x:v>
      </x:c>
      <x:c r="M6" s="4">
        <x:f>Snapshots!M6</x:f>
        <x:v>12</x:v>
      </x:c>
    </x:row>
    <x:row r="7">
      <x:c r="A7" s="1" t="str">
        <x:f>Snapshots!A7</x:f>
        <x:v>Full</x:v>
      </x:c>
      <x:c r="B7" s="1" t="str">
        <x:f>Snapshots!B7</x:f>
        <x:v>Luxury</x:v>
      </x:c>
      <x:c r="C7" s="1" t="str">
        <x:f>Snapshots!C7</x:f>
        <x:v>Kms_Driven</x:v>
      </x:c>
      <x:c r="D7" s="3">
        <x:f>Snapshots!D7</x:f>
        <x:v>232172</x:v>
      </x:c>
      <x:c r="E7" s="4">
        <x:f>Snapshots!E7</x:f>
        <x:v>202876.73762137</x:v>
      </x:c>
      <x:c r="F7" s="4">
        <x:f>Snapshots!F7</x:f>
        <x:v>153248.920805311</x:v>
      </x:c>
      <x:c r="G7" s="1" t="str">
        <x:f>Snapshots!G7</x:f>
        <x:v>No mode — all values unique</x:v>
      </x:c>
      <x:c r="H7" s="4">
        <x:f>Snapshots!H7</x:f>
        <x:v>175661.158434402</x:v>
      </x:c>
      <x:c r="I7" s="4">
        <x:f>Snapshots!I7</x:f>
        <x:v>4508.65358809465</x:v>
      </x:c>
      <x:c r="J7" s="4">
        <x:f>Snapshots!J7</x:f>
        <x:v>92762.6306351049</x:v>
      </x:c>
      <x:c r="K7" s="4">
        <x:f>Snapshots!K7</x:f>
        <x:v>253911.688473814</x:v>
      </x:c>
      <x:c r="L7" s="4">
        <x:f>Snapshots!L7</x:f>
        <x:v>4129838.80803218</x:v>
      </x:c>
      <x:c r="M7" s="4">
        <x:f>Snapshots!M7</x:f>
        <x:v>161149.057838709</x:v>
      </x:c>
    </x:row>
    <x:row r="8">
      <x:c r="A8" s="1" t="str">
        <x:f>Snapshots!A8</x:f>
        <x:v>Full</x:v>
      </x:c>
      <x:c r="B8" s="1" t="str">
        <x:f>Snapshots!B8</x:f>
        <x:v>Non-luxury</x:v>
      </x:c>
      <x:c r="C8" s="1" t="str">
        <x:f>Snapshots!C8</x:f>
        <x:v>Car_Price</x:v>
      </x:c>
      <x:c r="D8" s="3">
        <x:f>Snapshots!D8</x:f>
        <x:v>772828</x:v>
      </x:c>
      <x:c r="E8" s="4">
        <x:f>Snapshots!E8</x:f>
        <x:v>1015310.26827567</x:v>
      </x:c>
      <x:c r="F8" s="4">
        <x:f>Snapshots!F8</x:f>
        <x:v>673235.134777549</x:v>
      </x:c>
      <x:c r="G8" s="1" t="str">
        <x:f>Snapshots!G8</x:f>
        <x:v>No mode — all values unique</x:v>
      </x:c>
      <x:c r="H8" s="4">
        <x:f>Snapshots!H8</x:f>
        <x:v>1143353.52324669</x:v>
      </x:c>
      <x:c r="I8" s="4">
        <x:f>Snapshots!I8</x:f>
        <x:v>10358.3799505345</x:v>
      </x:c>
      <x:c r="J8" s="4">
        <x:f>Snapshots!J8</x:f>
        <x:v>365484.297552187</x:v>
      </x:c>
      <x:c r="K8" s="4">
        <x:f>Snapshots!K8</x:f>
        <x:v>1240864.69332962</x:v>
      </x:c>
      <x:c r="L8" s="4">
        <x:f>Snapshots!L8</x:f>
        <x:v>38036383.6458545</x:v>
      </x:c>
      <x:c r="M8" s="4">
        <x:f>Snapshots!M8</x:f>
        <x:v>875380.39577743</x:v>
      </x:c>
    </x:row>
    <x:row r="9">
      <x:c r="A9" s="1" t="str">
        <x:f>Snapshots!A9</x:f>
        <x:v>Full</x:v>
      </x:c>
      <x:c r="B9" s="1" t="str">
        <x:f>Snapshots!B9</x:f>
        <x:v>Non-luxury</x:v>
      </x:c>
      <x:c r="C9" s="1" t="str">
        <x:f>Snapshots!C9</x:f>
        <x:v>Registration_Age</x:v>
      </x:c>
      <x:c r="D9" s="3">
        <x:f>Snapshots!D9</x:f>
        <x:v>772828</x:v>
      </x:c>
      <x:c r="E9" s="4">
        <x:f>Snapshots!E9</x:f>
        <x:v>12.999664867215</x:v>
      </x:c>
      <x:c r="F9" s="4">
        <x:f>Snapshots!F9</x:f>
        <x:v>13</x:v>
      </x:c>
      <x:c r="G9" s="1">
        <x:f>Snapshots!G9</x:f>
        <x:v>19</x:v>
      </x:c>
      <x:c r="H9" s="4">
        <x:f>Snapshots!H9</x:f>
        <x:v>7.213009813702</x:v>
      </x:c>
      <x:c r="I9" s="4">
        <x:f>Snapshots!I9</x:f>
        <x:v>1</x:v>
      </x:c>
      <x:c r="J9" s="4">
        <x:f>Snapshots!J9</x:f>
        <x:v>7</x:v>
      </x:c>
      <x:c r="K9" s="4">
        <x:f>Snapshots!K9</x:f>
        <x:v>19</x:v>
      </x:c>
      <x:c r="L9" s="4">
        <x:f>Snapshots!L9</x:f>
        <x:v>25</x:v>
      </x:c>
      <x:c r="M9" s="4">
        <x:f>Snapshots!M9</x:f>
        <x:v>12</x:v>
      </x:c>
    </x:row>
    <x:row r="10">
      <x:c r="A10" s="1" t="str">
        <x:f>Snapshots!A10</x:f>
        <x:v>Full</x:v>
      </x:c>
      <x:c r="B10" s="1" t="str">
        <x:f>Snapshots!B10</x:f>
        <x:v>Non-luxury</x:v>
      </x:c>
      <x:c r="C10" s="1" t="str">
        <x:f>Snapshots!C10</x:f>
        <x:v>Kms_Driven</x:v>
      </x:c>
      <x:c r="D10" s="3">
        <x:f>Snapshots!D10</x:f>
        <x:v>772828</x:v>
      </x:c>
      <x:c r="E10" s="4">
        <x:f>Snapshots!E10</x:f>
        <x:v>203082.859742017</x:v>
      </x:c>
      <x:c r="F10" s="4">
        <x:f>Snapshots!F10</x:f>
        <x:v>153580.794832101</x:v>
      </x:c>
      <x:c r="G10" s="1" t="str">
        <x:f>Snapshots!G10</x:f>
        <x:v>No mode — all values unique</x:v>
      </x:c>
      <x:c r="H10" s="4">
        <x:f>Snapshots!H10</x:f>
        <x:v>175907.420017977</x:v>
      </x:c>
      <x:c r="I10" s="4">
        <x:f>Snapshots!I10</x:f>
        <x:v>4652.44002229919</x:v>
      </x:c>
      <x:c r="J10" s="4">
        <x:f>Snapshots!J10</x:f>
        <x:v>92698.8882818118</x:v>
      </x:c>
      <x:c r="K10" s="4">
        <x:f>Snapshots!K10</x:f>
        <x:v>254530.892089953</x:v>
      </x:c>
      <x:c r="L10" s="4">
        <x:f>Snapshots!L10</x:f>
        <x:v>6259464.75882513</x:v>
      </x:c>
      <x:c r="M10" s="4">
        <x:f>Snapshots!M10</x:f>
        <x:v>161832.003808142</x:v>
      </x:c>
    </x:row>
    <x:row r="11">
      <x:c r="A11" s="1" t="str">
        <x:f>Snapshots!A11</x:f>
        <x:v>Screened</x:v>
      </x:c>
      <x:c r="B11" s="1" t="str">
        <x:f>Snapshots!B11</x:f>
        <x:v>All</x:v>
      </x:c>
      <x:c r="C11" s="1" t="str">
        <x:f>Snapshots!C11</x:f>
        <x:v>Car_Price</x:v>
      </x:c>
      <x:c r="D11" s="3">
        <x:f>Snapshots!D11</x:f>
        <x:v>998849</x:v>
      </x:c>
      <x:c r="E11" s="4">
        <x:f>Snapshots!E11</x:f>
        <x:v>1015954.16080512</x:v>
      </x:c>
      <x:c r="F11" s="4">
        <x:f>Snapshots!F11</x:f>
        <x:v>673944.31760503</x:v>
      </x:c>
      <x:c r="G11" s="1" t="str">
        <x:f>Snapshots!G11</x:f>
        <x:v>No mode — all values unique</x:v>
      </x:c>
      <x:c r="H11" s="4">
        <x:f>Snapshots!H11</x:f>
        <x:v>1141022.76091351</x:v>
      </x:c>
      <x:c r="I11" s="4">
        <x:f>Snapshots!I11</x:f>
        <x:v>10358.3799505345</x:v>
      </x:c>
      <x:c r="J11" s="4">
        <x:f>Snapshots!J11</x:f>
        <x:v>365717.971134828</x:v>
      </x:c>
      <x:c r="K11" s="4">
        <x:f>Snapshots!K11</x:f>
        <x:v>1243444.91557261</x:v>
      </x:c>
      <x:c r="L11" s="4">
        <x:f>Snapshots!L11</x:f>
        <x:v>46802453.1696886</x:v>
      </x:c>
      <x:c r="M11" s="4">
        <x:f>Snapshots!M11</x:f>
        <x:v>877726.944437783</x:v>
      </x:c>
    </x:row>
    <x:row r="12">
      <x:c r="A12" s="1" t="str">
        <x:f>Snapshots!A12</x:f>
        <x:v>Screened</x:v>
      </x:c>
      <x:c r="B12" s="1" t="str">
        <x:f>Snapshots!B12</x:f>
        <x:v>All</x:v>
      </x:c>
      <x:c r="C12" s="1" t="str">
        <x:f>Snapshots!C12</x:f>
        <x:v>Registration_Age</x:v>
      </x:c>
      <x:c r="D12" s="3">
        <x:f>Snapshots!D12</x:f>
        <x:v>998849</x:v>
      </x:c>
      <x:c r="E12" s="4">
        <x:f>Snapshots!E12</x:f>
        <x:v>13.0047474643314</x:v>
      </x:c>
      <x:c r="F12" s="4">
        <x:f>Snapshots!F12</x:f>
        <x:v>13</x:v>
      </x:c>
      <x:c r="G12" s="1">
        <x:f>Snapshots!G12</x:f>
        <x:v>6</x:v>
      </x:c>
      <x:c r="H12" s="4">
        <x:f>Snapshots!H12</x:f>
        <x:v>7.21146847511244</x:v>
      </x:c>
      <x:c r="I12" s="4">
        <x:f>Snapshots!I12</x:f>
        <x:v>1</x:v>
      </x:c>
      <x:c r="J12" s="4">
        <x:f>Snapshots!J12</x:f>
        <x:v>7</x:v>
      </x:c>
      <x:c r="K12" s="4">
        <x:f>Snapshots!K12</x:f>
        <x:v>19</x:v>
      </x:c>
      <x:c r="L12" s="4">
        <x:f>Snapshots!L12</x:f>
        <x:v>25</x:v>
      </x:c>
      <x:c r="M12" s="4">
        <x:f>Snapshots!M12</x:f>
        <x:v>12</x:v>
      </x:c>
    </x:row>
    <x:row r="13">
      <x:c r="A13" s="1" t="str">
        <x:f>Snapshots!A13</x:f>
        <x:v>Screened</x:v>
      </x:c>
      <x:c r="B13" s="1" t="str">
        <x:f>Snapshots!B13</x:f>
        <x:v>All</x:v>
      </x:c>
      <x:c r="C13" s="1" t="str">
        <x:f>Snapshots!C13</x:f>
        <x:v>Kms_Driven</x:v>
      </x:c>
      <x:c r="D13" s="3">
        <x:f>Snapshots!D13</x:f>
        <x:v>998849</x:v>
      </x:c>
      <x:c r="E13" s="4">
        <x:f>Snapshots!E13</x:f>
        <x:v>196221.473156135</x:v>
      </x:c>
      <x:c r="F13" s="4">
        <x:f>Snapshots!F13</x:f>
        <x:v>152632.387821206</x:v>
      </x:c>
      <x:c r="G13" s="1" t="str">
        <x:f>Snapshots!G13</x:f>
        <x:v>No mode — all values unique</x:v>
      </x:c>
      <x:c r="H13" s="4">
        <x:f>Snapshots!H13</x:f>
        <x:v>150667.185378935</x:v>
      </x:c>
      <x:c r="I13" s="4">
        <x:f>Snapshots!I13</x:f>
        <x:v>4508.65358809465</x:v>
      </x:c>
      <x:c r="J13" s="4">
        <x:f>Snapshots!J13</x:f>
        <x:v>92384.3469539638</x:v>
      </x:c>
      <x:c r="K13" s="4">
        <x:f>Snapshots!K13</x:f>
        <x:v>251666.916838318</x:v>
      </x:c>
      <x:c r="L13" s="4">
        <x:f>Snapshots!L13</x:f>
        <x:v>999934.782605851</x:v>
      </x:c>
      <x:c r="M13" s="4">
        <x:f>Snapshots!M13</x:f>
        <x:v>159282.569884354</x:v>
      </x:c>
    </x:row>
    <x:row r="14">
      <x:c r="A14" s="1" t="str">
        <x:f>Snapshots!A14</x:f>
        <x:v>Screened</x:v>
      </x:c>
      <x:c r="B14" s="1" t="str">
        <x:f>Snapshots!B14</x:f>
        <x:v>Luxury</x:v>
      </x:c>
      <x:c r="C14" s="1" t="str">
        <x:f>Snapshots!C14</x:f>
        <x:v>Car_Price</x:v>
      </x:c>
      <x:c r="D14" s="3">
        <x:f>Snapshots!D14</x:f>
        <x:v>230761</x:v>
      </x:c>
      <x:c r="E14" s="4">
        <x:f>Snapshots!E14</x:f>
        <x:v>1014111.80352558</x:v>
      </x:c>
      <x:c r="F14" s="4">
        <x:f>Snapshots!F14</x:f>
        <x:v>673608.933602989</x:v>
      </x:c>
      <x:c r="G14" s="1" t="str">
        <x:f>Snapshots!G14</x:f>
        <x:v>No mode — all values unique</x:v>
      </x:c>
      <x:c r="H14" s="4">
        <x:f>Snapshots!H14</x:f>
        <x:v>1130277.47929433</x:v>
      </x:c>
      <x:c r="I14" s="4">
        <x:f>Snapshots!I14</x:f>
        <x:v>11535.0369480917</x:v>
      </x:c>
      <x:c r="J14" s="4">
        <x:f>Snapshots!J14</x:f>
        <x:v>365046.349174318</x:v>
      </x:c>
      <x:c r="K14" s="4">
        <x:f>Snapshots!K14</x:f>
        <x:v>1246580.12278278</x:v>
      </x:c>
      <x:c r="L14" s="4">
        <x:f>Snapshots!L14</x:f>
        <x:v>46802453.1696886</x:v>
      </x:c>
      <x:c r="M14" s="4">
        <x:f>Snapshots!M14</x:f>
        <x:v>881533.773608464</x:v>
      </x:c>
    </x:row>
    <x:row r="15">
      <x:c r="A15" s="1" t="str">
        <x:f>Snapshots!A15</x:f>
        <x:v>Screened</x:v>
      </x:c>
      <x:c r="B15" s="1" t="str">
        <x:f>Snapshots!B15</x:f>
        <x:v>Luxury</x:v>
      </x:c>
      <x:c r="C15" s="1" t="str">
        <x:f>Snapshots!C15</x:f>
        <x:v>Registration_Age</x:v>
      </x:c>
      <x:c r="D15" s="3">
        <x:f>Snapshots!D15</x:f>
        <x:v>230761</x:v>
      </x:c>
      <x:c r="E15" s="4">
        <x:f>Snapshots!E15</x:f>
        <x:v>13.0204107279826</x:v>
      </x:c>
      <x:c r="F15" s="4">
        <x:f>Snapshots!F15</x:f>
        <x:v>13</x:v>
      </x:c>
      <x:c r="G15" s="1">
        <x:f>Snapshots!G15</x:f>
        <x:v>18</x:v>
      </x:c>
      <x:c r="H15" s="4">
        <x:f>Snapshots!H15</x:f>
        <x:v>7.2069788195502</x:v>
      </x:c>
      <x:c r="I15" s="4">
        <x:f>Snapshots!I15</x:f>
        <x:v>1</x:v>
      </x:c>
      <x:c r="J15" s="4">
        <x:f>Snapshots!J15</x:f>
        <x:v>7</x:v>
      </x:c>
      <x:c r="K15" s="4">
        <x:f>Snapshots!K15</x:f>
        <x:v>19</x:v>
      </x:c>
      <x:c r="L15" s="4">
        <x:f>Snapshots!L15</x:f>
        <x:v>25</x:v>
      </x:c>
      <x:c r="M15" s="4">
        <x:f>Snapshots!M15</x:f>
        <x:v>12</x:v>
      </x:c>
    </x:row>
    <x:row r="16">
      <x:c r="A16" s="1" t="str">
        <x:f>Snapshots!A16</x:f>
        <x:v>Screened</x:v>
      </x:c>
      <x:c r="B16" s="1" t="str">
        <x:f>Snapshots!B16</x:f>
        <x:v>Luxury</x:v>
      </x:c>
      <x:c r="C16" s="1" t="str">
        <x:f>Snapshots!C16</x:f>
        <x:v>Kms_Driven</x:v>
      </x:c>
      <x:c r="D16" s="3">
        <x:f>Snapshots!D16</x:f>
        <x:v>230761</x:v>
      </x:c>
      <x:c r="E16" s="4">
        <x:f>Snapshots!E16</x:f>
        <x:v>196139.0121258</x:v>
      </x:c>
      <x:c r="F16" s="4">
        <x:f>Snapshots!F16</x:f>
        <x:v>152420.471173873</x:v>
      </x:c>
      <x:c r="G16" s="1" t="str">
        <x:f>Snapshots!G16</x:f>
        <x:v>No mode — all values unique</x:v>
      </x:c>
      <x:c r="H16" s="4">
        <x:f>Snapshots!H16</x:f>
        <x:v>150850.708872381</x:v>
      </x:c>
      <x:c r="I16" s="4">
        <x:f>Snapshots!I16</x:f>
        <x:v>4508.65358809465</x:v>
      </x:c>
      <x:c r="J16" s="4">
        <x:f>Snapshots!J16</x:f>
        <x:v>92424.3969881056</x:v>
      </x:c>
      <x:c r="K16" s="4">
        <x:f>Snapshots!K16</x:f>
        <x:v>251372.133019731</x:v>
      </x:c>
      <x:c r="L16" s="4">
        <x:f>Snapshots!L16</x:f>
        <x:v>999501.725428347</x:v>
      </x:c>
      <x:c r="M16" s="4">
        <x:f>Snapshots!M16</x:f>
        <x:v>158947.736031625</x:v>
      </x:c>
    </x:row>
    <x:row r="17">
      <x:c r="A17" s="1" t="str">
        <x:f>Snapshots!A17</x:f>
        <x:v>Screened</x:v>
      </x:c>
      <x:c r="B17" s="1" t="str">
        <x:f>Snapshots!B17</x:f>
        <x:v>Non-luxury</x:v>
      </x:c>
      <x:c r="C17" s="1" t="str">
        <x:f>Snapshots!C17</x:f>
        <x:v>Car_Price</x:v>
      </x:c>
      <x:c r="D17" s="3">
        <x:f>Snapshots!D17</x:f>
        <x:v>768088</x:v>
      </x:c>
      <x:c r="E17" s="4">
        <x:f>Snapshots!E17</x:f>
        <x:v>1016507.67056987</x:v>
      </x:c>
      <x:c r="F17" s="4">
        <x:f>Snapshots!F17</x:f>
        <x:v>674044.370619164</x:v>
      </x:c>
      <x:c r="G17" s="1" t="str">
        <x:f>Snapshots!G17</x:f>
        <x:v>No mode — all values unique</x:v>
      </x:c>
      <x:c r="H17" s="4">
        <x:f>Snapshots!H17</x:f>
        <x:v>1144231.46592772</x:v>
      </x:c>
      <x:c r="I17" s="4">
        <x:f>Snapshots!I17</x:f>
        <x:v>10358.3799505345</x:v>
      </x:c>
      <x:c r="J17" s="4">
        <x:f>Snapshots!J17</x:f>
        <x:v>365923.385123032</x:v>
      </x:c>
      <x:c r="K17" s="4">
        <x:f>Snapshots!K17</x:f>
        <x:v>1242569.55160788</x:v>
      </x:c>
      <x:c r="L17" s="4">
        <x:f>Snapshots!L17</x:f>
        <x:v>38036383.6458545</x:v>
      </x:c>
      <x:c r="M17" s="4">
        <x:f>Snapshots!M17</x:f>
        <x:v>876646.166484844</x:v>
      </x:c>
    </x:row>
    <x:row r="18">
      <x:c r="A18" s="1" t="str">
        <x:f>Snapshots!A18</x:f>
        <x:v>Screened</x:v>
      </x:c>
      <x:c r="B18" s="1" t="str">
        <x:f>Snapshots!B18</x:f>
        <x:v>Non-luxury</x:v>
      </x:c>
      <x:c r="C18" s="1" t="str">
        <x:f>Snapshots!C18</x:f>
        <x:v>Registration_Age</x:v>
      </x:c>
      <x:c r="D18" s="3">
        <x:f>Snapshots!D18</x:f>
        <x:v>768088</x:v>
      </x:c>
      <x:c r="E18" s="4">
        <x:f>Snapshots!E18</x:f>
        <x:v>13.0000416618929</x:v>
      </x:c>
      <x:c r="F18" s="4">
        <x:f>Snapshots!F18</x:f>
        <x:v>13</x:v>
      </x:c>
      <x:c r="G18" s="1">
        <x:f>Snapshots!G18</x:f>
        <x:v>19</x:v>
      </x:c>
      <x:c r="H18" s="4">
        <x:f>Snapshots!H18</x:f>
        <x:v>7.21281482649813</x:v>
      </x:c>
      <x:c r="I18" s="4">
        <x:f>Snapshots!I18</x:f>
        <x:v>1</x:v>
      </x:c>
      <x:c r="J18" s="4">
        <x:f>Snapshots!J18</x:f>
        <x:v>7</x:v>
      </x:c>
      <x:c r="K18" s="4">
        <x:f>Snapshots!K18</x:f>
        <x:v>19</x:v>
      </x:c>
      <x:c r="L18" s="4">
        <x:f>Snapshots!L18</x:f>
        <x:v>25</x:v>
      </x:c>
      <x:c r="M18" s="4">
        <x:f>Snapshots!M18</x:f>
        <x:v>12</x:v>
      </x:c>
    </x:row>
    <x:row r="19">
      <x:c r="A19" s="1" t="str">
        <x:f>Snapshots!A19</x:f>
        <x:v>Screened</x:v>
      </x:c>
      <x:c r="B19" s="1" t="str">
        <x:f>Snapshots!B19</x:f>
        <x:v>Non-luxury</x:v>
      </x:c>
      <x:c r="C19" s="1" t="str">
        <x:f>Snapshots!C19</x:f>
        <x:v>Kms_Driven</x:v>
      </x:c>
      <x:c r="D19" s="3">
        <x:f>Snapshots!D19</x:f>
        <x:v>768088</x:v>
      </x:c>
      <x:c r="E19" s="4">
        <x:f>Snapshots!E19</x:f>
        <x:v>196246.247387502</x:v>
      </x:c>
      <x:c r="F19" s="4">
        <x:f>Snapshots!F19</x:f>
        <x:v>152693.822009875</x:v>
      </x:c>
      <x:c r="G19" s="1" t="str">
        <x:f>Snapshots!G19</x:f>
        <x:v>No mode — all values unique</x:v>
      </x:c>
      <x:c r="H19" s="4">
        <x:f>Snapshots!H19</x:f>
        <x:v>150612.094161044</x:v>
      </x:c>
      <x:c r="I19" s="4">
        <x:f>Snapshots!I19</x:f>
        <x:v>4652.44002229919</x:v>
      </x:c>
      <x:c r="J19" s="4">
        <x:f>Snapshots!J19</x:f>
        <x:v>92372.3926413009</x:v>
      </x:c>
      <x:c r="K19" s="4">
        <x:f>Snapshots!K19</x:f>
        <x:v>251751.324731884</x:v>
      </x:c>
      <x:c r="L19" s="4">
        <x:f>Snapshots!L19</x:f>
        <x:v>999934.782605851</x:v>
      </x:c>
      <x:c r="M19" s="4">
        <x:f>Snapshots!M19</x:f>
        <x:v>159378.932090583</x:v>
      </x:c>
    </x:row>
  </x:sheetData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cols>
    <x:col min="1" max="1" width="40" customWidth="1"/>
    <x:col min="2" max="2" width="100" customWidth="1"/>
  </x:cols>
  <x:sheetData>
    <x:row r="1">
      <x:c r="A1" s="2" t="str">
        <x:v>Audit item</x:v>
      </x:c>
      <x:c r="B1" s="2" t="str">
        <x:v>Native result</x:v>
      </x:c>
      <x:c r="C1" s="2" t="str">
        <x:v>Source formula</x:v>
      </x:c>
      <x:c r="D1" s="2" t="str">
        <x:v>Treatment</x:v>
      </x:c>
    </x:row>
    <x:row r="2">
      <x:c r="A2" s="1" t="str">
        <x:v>Source observations</x:v>
      </x:c>
      <x:c r="B2" s="1">
        <x:v>1005000</x:v>
      </x:c>
      <x:c r="C2" s="1" t="str">
        <x:v>COUNT(DATA!$T$2:$T$1005001)</x:v>
      </x:c>
      <x:c r="D2" s="1" t="str">
        <x:v>Original DATA rows with numerical price</x:v>
      </x:c>
    </x:row>
    <x:row r="3">
      <x:c r="A3" s="1" t="str">
        <x:v>Blank cells: all 20 variables</x:v>
      </x:c>
      <x:c r="B3" s="1">
        <x:v>0</x:v>
      </x:c>
      <x:c r="C3" s="1" t="str">
        <x:v>SUM(COUNTBLANK(DATA!$A$2:$A$1005001),COUNTBLANK(DATA!$B$2:$B$1005001),COUNTBLANK(DATA!$C$2:$C$1005001),COUNTBLANK(DATA!$D$2:$D$1005001),COUNTBLANK(DATA!$E$2:$E$1005001),COUNTBLANK(DATA!$F$2:$F$1005001),COUNTBLANK(DATA!$G$2:$G$1005001),COUNTBLANK(DATA!$H$2:$H$1005001),COUNTBLANK(DATA!$I$2:$I$1005001),COUNTBLANK(DATA!$J$2:$J$1005001),COUNTBLANK(DATA!$K$2:$K$1005001),COUNTBLANK(DATA!$L$2:$L$1005001),COUNTBLANK(DATA!$M$2:$M$1005001),COUNTBLANK(DATA!$N$2:$N$1005001),COUNTBLANK(DATA!$O$2:$O$1005001),COUNTBLANK(DATA!$P$2:$P$1005001),COUNTBLANK(DATA!$Q$2:$Q$1005001),COUNTBLANK(DATA!$R$2:$R$1005001),COUNTBLANK(DATA!$S$2:$S$1005001),COUNTBLANK(DATA!$T$2:$T$1005001))</x:v>
      </x:c>
      <x:c r="D3" s="1" t="str">
        <x:v>Empty cells and empty strings; Unknown labels are counted separately</x:v>
      </x:c>
    </x:row>
    <x:row r="4">
      <x:c r="A4" s="1" t="str">
        <x:v>Brand labels changed by TRIM</x:v>
      </x:c>
      <x:c r="B4" s="1">
        <x:v>10040</x:v>
      </x:c>
      <x:c r="C4" s="1" t="str">
        <x:v>SUMPRODUCT(--NOT(EXACT(DATA!$A$2:$A$1005001,TRIM(DATA!$A$2:$A$1005001))))</x:v>
      </x:c>
      <x:c r="D4" s="1" t="str">
        <x:v>Whitespace only; numeric variables stay unchanged</x:v>
      </x:c>
    </x:row>
    <x:row r="5">
      <x:c r="A5" s="1" t="str">
        <x:v>Distinct clean brands</x:v>
      </x:c>
      <x:c r="B5" s="1">
        <x:v>13</x:v>
      </x:c>
      <x:c r="C5" s="1" t="str">
        <x:v>COUNTA(_xlfn.UNIQUE(TRIM(DATA!$A$2:$A$1005001)))</x:v>
      </x:c>
      <x:c r="D5" s="1" t="str">
        <x:v>Luxury is Audi, BMW, Mercedes; other supplied brands non-luxury</x:v>
      </x:c>
    </x:row>
    <x:row r="6">
      <x:c r="A6" s="1" t="str">
        <x:v>Unknown Brand</x:v>
      </x:c>
      <x:c r="B6" s="1">
        <x:v>0</x:v>
      </x:c>
      <x:c r="C6" s="1" t="str">
        <x:v>COUNTIF(DATA!$A$2:$A$1005001,"Unknown")</x:v>
      </x:c>
      <x:c r="D6" s="1" t="str">
        <x:v>No unresolved Brand assumed to be an identified brand</x:v>
      </x:c>
    </x:row>
    <x:row r="7">
      <x:c r="A7" s="1" t="str">
        <x:v>Luxury without trimming</x:v>
      </x:c>
      <x:c r="B7" s="1">
        <x:v>229838</x:v>
      </x:c>
      <x:c r="C7" s="1" t="str">
        <x:v>COUNTIF(DATA!$A$2:$A$1005001,"Audi")+COUNTIF(DATA!$A$2:$A$1005001,"BMW")+COUNTIF(DATA!$A$2:$A$1005001,"Mercedes")</x:v>
      </x:c>
      <x:c r="D7" s="1" t="str">
        <x:v>Diagnostic of misclassification before cleaning</x:v>
      </x:c>
    </x:row>
    <x:row r="8">
      <x:c r="A8" s="1" t="str">
        <x:v>Luxury after trimming</x:v>
      </x:c>
      <x:c r="B8" s="1">
        <x:v>232172</x:v>
      </x:c>
      <x:c r="C8" s="1" t="str">
        <x:v>SUMPRODUCT(--(((TRIM(DATA!$A$2:$A$1005001)="Audi")+(TRIM(DATA!$A$2:$A$1005001)="BMW")+(TRIM(DATA!$A$2:$A$1005001)="Mercedes"))&gt;0))</x:v>
      </x:c>
      <x:c r="D8" s="1" t="str">
        <x:v>All original rows; corrected segment classification</x:v>
      </x:c>
    </x:row>
    <x:row r="9">
      <x:c r="A9" s="1" t="str">
        <x:v>Luxury classifications recovered</x:v>
      </x:c>
      <x:c r="B9" s="1">
        <x:v>2334</x:v>
      </x:c>
      <x:c r="C9" s="1" t="str">
        <x:v>B8-B7</x:v>
      </x:c>
      <x:c r="D9" s="1" t="str">
        <x:v>Difference caused by correcting Brand whitespace</x:v>
      </x:c>
    </x:row>
    <x:row r="10">
      <x:c r="A10" s="1" t="str">
        <x:v>Fuel correction: "electrik" → Electric</x:v>
      </x:c>
      <x:c r="B10" s="1">
        <x:v>3269</x:v>
      </x:c>
      <x:c r="C10" s="1" t="str">
        <x:v>SUMPRODUCT(--EXACT(DATA!$G$2:$G$1005001,"electrik"))</x:v>
      </x:c>
      <x:c r="D10" s="1" t="str">
        <x:v>Case-sensitive count; ordinary canonical entries are not counted as changes</x:v>
      </x:c>
    </x:row>
    <x:row r="11">
      <x:c r="A11" s="1" t="str">
        <x:v>Fuel correction: " Diesel" → Diesel</x:v>
      </x:c>
      <x:c r="B11" s="1">
        <x:v>3390</x:v>
      </x:c>
      <x:c r="C11" s="1" t="str">
        <x:v>SUMPRODUCT(--EXACT(DATA!$G$2:$G$1005001," Diesel"))</x:v>
      </x:c>
      <x:c r="D11" s="1" t="str">
        <x:v>Case-sensitive count; ordinary canonical entries are not counted as changes</x:v>
      </x:c>
    </x:row>
    <x:row r="12">
      <x:c r="A12" s="1" t="str">
        <x:v>Fuel correction: "PETROL" → Petrol</x:v>
      </x:c>
      <x:c r="B12" s="1">
        <x:v>3317</x:v>
      </x:c>
      <x:c r="C12" s="1" t="str">
        <x:v>SUMPRODUCT(--EXACT(DATA!$G$2:$G$1005001,"PETROL"))</x:v>
      </x:c>
      <x:c r="D12" s="1" t="str">
        <x:v>Case-sensitive count; ordinary canonical entries are not counted as changes</x:v>
      </x:c>
    </x:row>
    <x:row r="13">
      <x:c r="A13" s="1" t="str">
        <x:v>Fuel correction: "petrol" → Petrol</x:v>
      </x:c>
      <x:c r="B13" s="1">
        <x:v>3351</x:v>
      </x:c>
      <x:c r="C13" s="1" t="str">
        <x:v>SUMPRODUCT(--EXACT(DATA!$G$2:$G$1005001,"petrol"))</x:v>
      </x:c>
      <x:c r="D13" s="1" t="str">
        <x:v>Case-sensitive count; ordinary canonical entries are not counted as changes</x:v>
      </x:c>
    </x:row>
    <x:row r="14">
      <x:c r="A14" s="1" t="str">
        <x:v>Fuel correction: "hybridd" → Hybrid</x:v>
      </x:c>
      <x:c r="B14" s="1">
        <x:v>3423</x:v>
      </x:c>
      <x:c r="C14" s="1" t="str">
        <x:v>SUMPRODUCT(--EXACT(DATA!$G$2:$G$1005001,"hybridd"))</x:v>
      </x:c>
      <x:c r="D14" s="1" t="str">
        <x:v>Case-sensitive count; ordinary canonical entries are not counted as changes</x:v>
      </x:c>
    </x:row>
    <x:row r="15">
      <x:c r="A15" s="1" t="str">
        <x:v>Fuel correction: "diesel " → Diesel</x:v>
      </x:c>
      <x:c r="B15" s="1">
        <x:v>3373</x:v>
      </x:c>
      <x:c r="C15" s="1" t="str">
        <x:v>SUMPRODUCT(--EXACT(DATA!$G$2:$G$1005001,"diesel "))</x:v>
      </x:c>
      <x:c r="D15" s="1" t="str">
        <x:v>Case-sensitive count; ordinary canonical entries are not counted as changes</x:v>
      </x:c>
    </x:row>
    <x:row r="16">
      <x:c r="A16" s="1" t="str">
        <x:v>Total Fuel_Type labels changed</x:v>
      </x:c>
      <x:c r="B16" s="1">
        <x:v>20123</x:v>
      </x:c>
      <x:c r="C16" s="1" t="str">
        <x:v>SUM(B10,B11,B12,B13,B14,B15)</x:v>
      </x:c>
      <x:c r="D16" s="1" t="str">
        <x:v>Explicit six-rule mapping; Unknown retained</x:v>
      </x:c>
    </x:row>
    <x:row r="17">
      <x:c r="A17" s="1" t="str">
        <x:v>Unknown Fuel_Type</x:v>
      </x:c>
      <x:c r="B17" s="1">
        <x:v>78733</x:v>
      </x:c>
      <x:c r="C17" s="1" t="str">
        <x:v>COUNTIF(DATA!$G$2:$G$1005001,"Unknown")</x:v>
      </x:c>
      <x:c r="D17" s="1" t="str">
        <x:v>Retain usable price/age/usage observations; do not infer the missing category</x:v>
      </x:c>
    </x:row>
    <x:row r="18">
      <x:c r="A18" s="1" t="str">
        <x:v>Unknown Transmission</x:v>
      </x:c>
      <x:c r="B18" s="1">
        <x:v>80385</x:v>
      </x:c>
      <x:c r="C18" s="1" t="str">
        <x:v>COUNTIF(DATA!$H$2:$H$1005001,"Unknown")</x:v>
      </x:c>
      <x:c r="D18" s="1" t="str">
        <x:v>Retain usable price/age/usage observations; do not infer the missing category</x:v>
      </x:c>
    </x:row>
    <x:row r="19">
      <x:c r="A19" s="1" t="str">
        <x:v>Unknown Color</x:v>
      </x:c>
      <x:c r="B19" s="1">
        <x:v>80419</x:v>
      </x:c>
      <x:c r="C19" s="1" t="str">
        <x:v>COUNTIF(DATA!$J$2:$J$1005001,"Unknown")</x:v>
      </x:c>
      <x:c r="D19" s="1" t="str">
        <x:v>Retain usable price/age/usage observations; do not infer the missing category</x:v>
      </x:c>
    </x:row>
    <x:row r="20">
      <x:c r="A20" s="1" t="str">
        <x:v>Unknown City</x:v>
      </x:c>
      <x:c r="B20" s="1">
        <x:v>80430</x:v>
      </x:c>
      <x:c r="C20" s="1" t="str">
        <x:v>COUNTIF(DATA!$K$2:$K$1005001,"Unknown")</x:v>
      </x:c>
      <x:c r="D20" s="1" t="str">
        <x:v>Retain usable price/age/usage observations; do not infer the missing category</x:v>
      </x:c>
    </x:row>
    <x:row r="21">
      <x:c r="A21" s="1" t="str">
        <x:v>Mechanical zero readings</x:v>
      </x:c>
      <x:c r="B21" s="1">
        <x:v>40</x:v>
      </x:c>
      <x:c r="C21" s="1" t="str">
        <x:v>COUNTIF(DATA!$D$2:$D$1005001,0)+COUNTIF(DATA!$E$2:$E$1005001,0)+COUNTIF(DATA!$F$2:$F$1005001,0)</x:v>
      </x:c>
      <x:c r="D21" s="1" t="str">
        <x:v>Flag Mileage_kmpl, Engine_CC and Horsepower for later verification; not imputed</x:v>
      </x:c>
    </x:row>
    <x:row r="22">
      <x:c r="A22" s="1" t="str">
        <x:v>Year + age differs from 2025</x:v>
      </x:c>
      <x:c r="B22" s="1">
        <x:v>0</x:v>
      </x:c>
      <x:c r="C22" s="1" t="str">
        <x:v>SUMPRODUCT(--(DATA!$C$2:$C$1005001+DATA!$S$2:$S$1005001&lt;&gt;2025))</x:v>
      </x:c>
      <x:c r="D22" s="1" t="str">
        <x:v>Snapshot consistency; retain supplied age, avoid duplicating age and Year in later models</x:v>
      </x:c>
    </x:row>
    <x:row r="23">
      <x:c r="A23" s="1" t="str">
        <x:v>Negative usage</x:v>
      </x:c>
      <x:c r="B23" s="1">
        <x:v>0</x:v>
      </x:c>
      <x:c r="C23" s="1" t="str">
        <x:v>COUNTIF(DATA!$L$2:$L$1005001,"&lt;0")</x:v>
      </x:c>
      <x:c r="D23" s="1" t="str">
        <x:v>Invalid usage would require a separate decision</x:v>
      </x:c>
    </x:row>
    <x:row r="24">
      <x:c r="A24" s="1" t="str">
        <x:v>Usage above 1,000,000 km</x:v>
      </x:c>
      <x:c r="B24" s="1">
        <x:v>6151</x:v>
      </x:c>
      <x:c r="C24" s="1" t="str">
        <x:v>COUNTIF(DATA!$L$2:$L$1005001,"&gt;"&amp;Controls!$B$2)</x:v>
      </x:c>
      <x:c r="D24" s="1" t="str">
        <x:v>Screen only in primary cohort; preserve these rows in full-sample sensitivity</x:v>
      </x:c>
    </x:row>
    <x:row r="25">
      <x:c r="A25" s="1" t="str">
        <x:v>Retained primary observations</x:v>
      </x:c>
      <x:c r="B25" s="1">
        <x:v>998849</x:v>
      </x:c>
      <x:c r="C25" s="1" t="str">
        <x:v>COUNTIF(DATA!$L$2:$L$1005001,"&lt;="&amp;Controls!$B$2)</x:v>
      </x:c>
      <x:c r="D25" s="1" t="str">
        <x:v>No other blanket complete-case exclusion</x:v>
      </x:c>
    </x:row>
    <x:row r="26">
      <x:c r="A26" s="1" t="str">
        <x:v>Exact raw record duplicates</x:v>
      </x:c>
      <x:c r="B26" s="1">
        <x:v>0</x:v>
      </x:c>
      <x:c r="C26" s="1" t="str">
        <x:v>IF(AND(Summary!G2="No mode — all values unique",Summary!D2=Controls!B3),0,"Further audit required")</x:v>
      </x:c>
      <x:c r="D26" s="1" t="str">
        <x:v>Original-precision price uniqueness proves no two complete records can be identical</x:v>
      </x:c>
    </x:row>
    <x:row r="27">
      <x:c r="A27" s="1" t="str">
        <x:v>Exact duplicates after label cleaning</x:v>
      </x:c>
      <x:c r="B27" s="1">
        <x:v>0</x:v>
      </x:c>
      <x:c r="C27" s="1" t="str">
        <x:v>IF(B26=0,0,"Further audit required")</x:v>
      </x:c>
      <x:c r="D27" s="1" t="str">
        <x:v>Only text labels change; unique original numerical prices remain unchanged</x:v>
      </x:c>
    </x:row>
    <x:row r="28">
      <x:c r="A28" s="1" t="str">
        <x:v>Primary upper price IQR fence</x:v>
      </x:c>
      <x:c r="B28" s="1">
        <x:v>2560035.33222929</x:v>
      </x:c>
      <x:c r="C28" s="1" t="str">
        <x:v>Summary!K11+1.5*(Summary!K11-Summary!J11)</x:v>
      </x:c>
      <x:c r="D28" s="1" t="str">
        <x:v>Diagnostic only; not an adopted deletion rule</x:v>
      </x:c>
    </x:row>
    <x:row r="29">
      <x:c r="A29" s="1" t="str">
        <x:v>Primary prices above upper IQR fence</x:v>
      </x:c>
      <x:c r="B29" s="1">
        <x:v>70457</x:v>
      </x:c>
      <x:c r="C29" s="1" t="str">
        <x:v>COUNT(_xlfn._xlws.FILTER(DATA!$T$2:$T$1005001,(DATA!$L$2:$L$1005001&lt;=Controls!$B$2)*(DATA!$T$2:$T$1005001&gt;B28)))</x:v>
      </x:c>
      <x:c r="D29" s="1" t="str">
        <x:v>Retain high prices; a statistical flag is not proof of measurement error</x:v>
      </x:c>
    </x:row>
    <x:row r="30">
      <x:c r="A30" s="1" t="str">
        <x:v>Screened-out share</x:v>
      </x:c>
      <x:c r="B30" s="1">
        <x:v>0.006120398009950249</x:v>
      </x:c>
      <x:c r="C30" s="1" t="str">
        <x:v>B24/B2</x:v>
      </x:c>
      <x:c r="D30" s="1" t="str">
        <x:v>Full-source denominator</x:v>
      </x:c>
    </x:row>
    <x:row r="31">
      <x:c r="A31" s="1" t="str">
        <x:v>Unknown Fuel_Type share</x:v>
      </x:c>
      <x:c r="B31" s="1">
        <x:v>0.0783412935323383</x:v>
      </x:c>
      <x:c r="C31" s="1" t="str">
        <x:v>B17/B2</x:v>
      </x:c>
      <x:c r="D31" s="1" t="str">
        <x:v>Full-source denominator</x:v>
      </x:c>
    </x:row>
    <x:row r="32">
      <x:c r="A32" s="1" t="str">
        <x:v>Unknown Transmission share</x:v>
      </x:c>
      <x:c r="B32" s="1">
        <x:v>0.07998507462686567</x:v>
      </x:c>
      <x:c r="C32" s="1" t="str">
        <x:v>B18/B2</x:v>
      </x:c>
      <x:c r="D32" s="1" t="str">
        <x:v>Full-source denominator</x:v>
      </x:c>
    </x:row>
    <x:row r="33">
      <x:c r="A33" s="1" t="str">
        <x:v>Primary luxury mean difference (INR)</x:v>
      </x:c>
      <x:c r="B33" s="1">
        <x:v>-2395.86704428762</x:v>
      </x:c>
      <x:c r="C33" s="1" t="str">
        <x:v>Summary!E14-Summary!E17</x:v>
      </x:c>
      <x:c r="D33" s="1" t="str">
        <x:v>Luxury minus non-luxury; descriptive, not a hypothesis test</x:v>
      </x:c>
    </x:row>
    <x:row r="34">
      <x:c r="A34" s="1" t="str">
        <x:v>Primary luxury mean difference (%)</x:v>
      </x:c>
      <x:c r="B34" s="1">
        <x:v>-0.235695913926991</x:v>
      </x:c>
      <x:c r="C34" s="1" t="str">
        <x:v>100*B33/Summary!E17</x:v>
      </x:c>
      <x:c r="D34" s="1" t="str">
        <x:v>Relative to non-luxury mean</x:v>
      </x:c>
    </x:row>
    <x:row r="35">
      <x:c r="A35" s="1" t="str">
        <x:v>Primary luxury median difference (INR)</x:v>
      </x:c>
      <x:c r="B35" s="1">
        <x:v>-435.437016175594</x:v>
      </x:c>
      <x:c r="C35" s="1" t="str">
        <x:v>Summary!F14-Summary!F17</x:v>
      </x:c>
      <x:c r="D35" s="1" t="str">
        <x:v>Luxury minus non-luxury</x:v>
      </x:c>
    </x:row>
    <x:row r="36">
      <x:c r="A36" s="1" t="str">
        <x:v>Primary luxury median difference (%)</x:v>
      </x:c>
      <x:c r="B36" s="1">
        <x:v>-0.0646006457669263</x:v>
      </x:c>
      <x:c r="C36" s="1" t="str">
        <x:v>100*B35/Summary!F17</x:v>
      </x:c>
      <x:c r="D36" s="1" t="str">
        <x:v>Relative to non-luxury median</x:v>
      </x:c>
    </x:row>
    <x:row r="37">
      <x:c r="A37" s="1"/>
      <x:c r="B37" s="1"/>
      <x:c r="C37" s="1"/>
      <x:c r="D37" s="1"/>
    </x:row>
    <x:row r="38">
      <x:c r="A38" s="1"/>
      <x:c r="B38" s="1"/>
      <x:c r="C38" s="1"/>
      <x:c r="D38" s="1"/>
    </x:row>
    <x:row r="39">
      <x:c r="A39" s="1"/>
      <x:c r="B39" s="1"/>
      <x:c r="C39" s="1"/>
      <x:c r="D39" s="1"/>
    </x:row>
    <x:row r="40">
      <x:c r="A40" s="1"/>
      <x:c r="B40" s="1"/>
      <x:c r="C40" s="1"/>
      <x:c r="D40" s="1"/>
    </x:row>
    <x:row r="41">
      <x:c r="A41" s="1"/>
      <x:c r="B41" s="1"/>
      <x:c r="C41" s="1"/>
      <x:c r="D41" s="1"/>
    </x:row>
    <x:row r="42">
      <x:c r="A42" s="1"/>
      <x:c r="B42" s="1"/>
      <x:c r="C42" s="1"/>
      <x:c r="D42" s="1"/>
    </x:row>
    <x:row r="43">
      <x:c r="A43" s="1"/>
      <x:c r="B43" s="1"/>
      <x:c r="C43" s="1"/>
      <x:c r="D43" s="1"/>
    </x:row>
  </x:sheetData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Data>
    <x:row r="1">
      <x:c r="A1" s="2" t="str">
        <x:v>Cohort</x:v>
      </x:c>
      <x:c r="B1" s="2" t="str">
        <x:v>Segment</x:v>
      </x:c>
      <x:c r="C1" s="2" t="str">
        <x:v>Age–price r</x:v>
      </x:c>
      <x:c r="D1" s="2" t="str">
        <x:v>Usage–price r</x:v>
      </x:c>
      <x:c r="E1" s="2" t="str">
        <x:v>Valid pairs</x:v>
      </x:c>
      <x:c r="F1" s="2" t="str">
        <x:v>Native source formula</x:v>
      </x:c>
      <x:c r="G1" s="2"/>
    </x:row>
    <x:row r="2">
      <x:c r="A2" s="1" t="str">
        <x:v>Full</x:v>
      </x:c>
      <x:c r="B2" s="1" t="str">
        <x:v>All</x:v>
      </x:c>
      <x:c r="C2" s="1">
        <x:v>-0.0011773430109237595</x:v>
      </x:c>
      <x:c r="D2" s="1">
        <x:v>-0.0499333177684022</x:v>
      </x:c>
      <x:c r="E2" s="1">
        <x:v>1005000</x:v>
      </x:c>
      <x:c r="F2" s="1" t="str">
        <x:v>_xlfn.LET(_xlpm.data_prices,DATA!$T$2:$T$1005001,_xlpm.data_ages,DATA!$S$2:$S$1005001,_xlpm.data_usage,DATA!$L$2:$L$1005001,_xlfn.TEXTJOIN("|",FALSE,CORREL(_xlpm.data_ages,_xlpm.data_prices),CORREL(_xlpm.data_usage,_xlpm.data_prices),COUNT(_xlpm.data_prices)))</x:v>
      </x:c>
      <x:c r="G2" s="1"/>
    </x:row>
    <x:row r="3">
      <x:c r="A3" s="1" t="str">
        <x:v>Full</x:v>
      </x:c>
      <x:c r="B3" s="1" t="str">
        <x:v>Luxury</x:v>
      </x:c>
      <x:c r="C3" s="1">
        <x:v>-0.0008595020645394785</x:v>
      </x:c>
      <x:c r="D3" s="1">
        <x:v>-0.05084811081502135</x:v>
      </x:c>
      <x:c r="E3" s="1">
        <x:v>232172</x:v>
      </x:c>
      <x:c r="F3" s="1" t="str">
        <x:v>_xlfn.LET(_xlpm.select_rows,(((TRIM(DATA!$A$2:$A$1005001)="Audi")+(TRIM(DATA!$A$2:$A$1005001)="BMW")+(TRIM(DATA!$A$2:$A$1005001)="Mercedes"))&gt;0),_xlpm.data_prices,_xlfn._xlws.FILTER(DATA!$T$2:$T$1005001,_xlpm.select_rows),_xlpm.data_ages,_xlfn._xlws.FILTER(DATA!$S$2:$S$1005001,_xlpm.select_rows),_xlpm.data_usage,_xlfn._xlws.FILTER(DATA!$L$2:$L$1005001,_xlpm.select_rows),_xlfn.TEXTJOIN("|",FALSE,CORREL(_xlpm.data_ages,_xlpm.data_prices),CORREL(_xlpm.data_usage,_xlpm.data_prices),COUNT(_xlpm.data_prices)))</x:v>
      </x:c>
      <x:c r="G3" s="1"/>
    </x:row>
    <x:row r="4">
      <x:c r="A4" s="1" t="str">
        <x:v>Full</x:v>
      </x:c>
      <x:c r="B4" s="1" t="str">
        <x:v>Non-luxury</x:v>
      </x:c>
      <x:c r="C4" s="1">
        <x:v>-0.0012702508418902436</x:v>
      </x:c>
      <x:c r="D4" s="1">
        <x:v>-0.04966361268089439</x:v>
      </x:c>
      <x:c r="E4" s="1">
        <x:v>772828</x:v>
      </x:c>
      <x:c r="F4" s="1" t="str">
        <x:v>_xlfn.LET(_xlpm.select_rows,(((TRIM(DATA!$A$2:$A$1005001)="Audi")+(TRIM(DATA!$A$2:$A$1005001)="BMW")+(TRIM(DATA!$A$2:$A$1005001)="Mercedes"))=0),_xlpm.data_prices,_xlfn._xlws.FILTER(DATA!$T$2:$T$1005001,_xlpm.select_rows),_xlpm.data_ages,_xlfn._xlws.FILTER(DATA!$S$2:$S$1005001,_xlpm.select_rows),_xlpm.data_usage,_xlfn._xlws.FILTER(DATA!$L$2:$L$1005001,_xlpm.select_rows),_xlfn.TEXTJOIN("|",FALSE,CORREL(_xlpm.data_ages,_xlpm.data_prices),CORREL(_xlpm.data_usage,_xlpm.data_prices),COUNT(_xlpm.data_prices)))</x:v>
      </x:c>
      <x:c r="G4" s="1"/>
    </x:row>
    <x:row r="5">
      <x:c r="A5" s="1" t="str">
        <x:v>Screened</x:v>
      </x:c>
      <x:c r="B5" s="1" t="str">
        <x:v>All</x:v>
      </x:c>
      <x:c r="C5" s="1">
        <x:v>-0.001207242017947672</x:v>
      </x:c>
      <x:c r="D5" s="1">
        <x:v>-0.050887398914765646</x:v>
      </x:c>
      <x:c r="E5" s="1">
        <x:v>998849</x:v>
      </x:c>
      <x:c r="F5" s="1" t="str">
        <x:v>_xlfn.LET(_xlpm.select_rows,(DATA!$L$2:$L$1005001&lt;=Controls!$B$2),_xlpm.data_prices,_xlfn._xlws.FILTER(DATA!$T$2:$T$1005001,_xlpm.select_rows),_xlpm.data_ages,_xlfn._xlws.FILTER(DATA!$S$2:$S$1005001,_xlpm.select_rows),_xlpm.data_usage,_xlfn._xlws.FILTER(DATA!$L$2:$L$1005001,_xlpm.select_rows),_xlfn.TEXTJOIN("|",FALSE,CORREL(_xlpm.data_ages,_xlpm.data_prices),CORREL(_xlpm.data_usage,_xlpm.data_prices),COUNT(_xlpm.data_prices)))</x:v>
      </x:c>
      <x:c r="G5" s="1"/>
    </x:row>
    <x:row r="6">
      <x:c r="A6" s="1" t="str">
        <x:v>Screened</x:v>
      </x:c>
      <x:c r="B6" s="1" t="str">
        <x:v>Luxury</x:v>
      </x:c>
      <x:c r="C6" s="1">
        <x:v>-0.0008141990050494739</x:v>
      </x:c>
      <x:c r="D6" s="1">
        <x:v>-0.052084338803425646</x:v>
      </x:c>
      <x:c r="E6" s="1">
        <x:v>230761</x:v>
      </x:c>
      <x:c r="F6" s="1" t="str">
        <x:v>_xlfn.LET(_xlpm.select_rows,(DATA!$L$2:$L$1005001&lt;=Controls!$B$2)*(((TRIM(DATA!$A$2:$A$1005001)="Audi")+(TRIM(DATA!$A$2:$A$1005001)="BMW")+(TRIM(DATA!$A$2:$A$1005001)="Mercedes"))&gt;0),_xlpm.data_prices,_xlfn._xlws.FILTER(DATA!$T$2:$T$1005001,_xlpm.select_rows),_xlpm.data_ages,_xlfn._xlws.FILTER(DATA!$S$2:$S$1005001,_xlpm.select_rows),_xlpm.data_usage,_xlfn._xlws.FILTER(DATA!$L$2:$L$1005001,_xlpm.select_rows),_xlfn.TEXTJOIN("|",FALSE,CORREL(_xlpm.data_ages,_xlpm.data_prices),CORREL(_xlpm.data_usage,_xlpm.data_prices),COUNT(_xlpm.data_prices)))</x:v>
      </x:c>
      <x:c r="G6" s="1"/>
    </x:row>
    <x:row r="7">
      <x:c r="A7" s="1" t="str">
        <x:v>Screened</x:v>
      </x:c>
      <x:c r="B7" s="1" t="str">
        <x:v>Non-luxury</x:v>
      </x:c>
      <x:c r="C7" s="1">
        <x:v>-0.001322445133871189</x:v>
      </x:c>
      <x:c r="D7" s="1">
        <x:v>-0.050533111302222516</x:v>
      </x:c>
      <x:c r="E7" s="1">
        <x:v>768088</x:v>
      </x:c>
      <x:c r="F7" s="1" t="str">
        <x:v>_xlfn.LET(_xlpm.select_rows,(DATA!$L$2:$L$1005001&lt;=Controls!$B$2)*(((TRIM(DATA!$A$2:$A$1005001)="Audi")+(TRIM(DATA!$A$2:$A$1005001)="BMW")+(TRIM(DATA!$A$2:$A$1005001)="Mercedes"))=0),_xlpm.data_prices,_xlfn._xlws.FILTER(DATA!$T$2:$T$1005001,_xlpm.select_rows),_xlpm.data_ages,_xlfn._xlws.FILTER(DATA!$S$2:$S$1005001,_xlpm.select_rows),_xlpm.data_usage,_xlfn._xlws.FILTER(DATA!$L$2:$L$1005001,_xlpm.select_rows),_xlfn.TEXTJOIN("|",FALSE,CORREL(_xlpm.data_ages,_xlpm.data_prices),CORREL(_xlpm.data_usage,_xlpm.data_prices),COUNT(_xlpm.data_prices)))</x:v>
      </x:c>
      <x:c r="G7" s="1"/>
    </x:row>
    <x:row r="8">
      <x:c r="A8" s="1" t="str">
        <x:v>Screened + price IQR diagnostic</x:v>
      </x:c>
      <x:c r="B8" s="1" t="str">
        <x:v>All</x:v>
      </x:c>
      <x:c r="C8" s="1">
        <x:v>-0.0005421890048436456</x:v>
      </x:c>
      <x:c r="D8" s="1">
        <x:v>-0.051637424950113205</x:v>
      </x:c>
      <x:c r="E8" s="1">
        <x:v>928392</x:v>
      </x:c>
      <x:c r="F8" s="1" t="str">
        <x:v>_xlfn.LET(_xlpm.select_rows,(DATA!$L$2:$L$1005001&lt;=Controls!$B$2)*(DATA!$T$2:$T$1005001&lt;=Audit!$D$28),_xlpm.data_prices,_xlfn._xlws.FILTER(DATA!$T$2:$T$1005001,_xlpm.select_rows),_xlpm.data_ages,_xlfn._xlws.FILTER(DATA!$S$2:$S$1005001,_xlpm.select_rows),_xlpm.data_usage,_xlfn._xlws.FILTER(DATA!$L$2:$L$1005001,_xlpm.select_rows),_xlfn.TEXTJOIN("|",FALSE,CORREL(_xlpm.data_ages,_xlpm.data_prices),CORREL(_xlpm.data_usage,_xlpm.data_prices),COUNT(_xlpm.data_prices)))</x:v>
      </x:c>
      <x:c r="G8" s="1"/>
    </x:row>
  </x:sheetData>
</x:worksheet>
</file>

<file path=xl/worksheets/sheet8.xml><?xml version="1.0" encoding="utf-8"?>
<x:worksheet xmlns:x="http://schemas.openxmlformats.org/spreadsheetml/2006/main">
  <x:sheetData>
    <x:row r="1">
      <x:c r="B1" t="str">
        <x:v>Fixed native vectors from full-source calculations</x:v>
      </x:c>
    </x:row>
    <x:row r="2">
      <x:c r="B2" t="str">
        <x:v>39982|1015186.9175902794|39888|1014891.9899233135|39940|1027267.5817154653|39910|1016897.9381825229|39773|1022421.2908823505|40309|1014856.8126699255|39706|1013103.1378652445|40166|1018347.2316989782|39725|1007724.9438064625|39645|1022043.5137720638|40034|1014575.7610939621|39804|1017872.4409728316|40235|1017803.381202057|39881|1014957.1059429982|39985|1011814.5120450853|39698|1021277.7519736976|40076|1012984.9671677469|39958|1020683.0859246487|40307|1013271.3478267612|40219|1010518.0510358913|39628|1007068.8944575057|39998|1022866.0909085533|40205|1011905.566409704|39790|1015039.9495712973|39987|1013530.5046845954</x:v>
      </x:c>
    </x:row>
    <x:row r="5">
      <x:c r="B5" t="str">
        <x:v>4508.653588094649|58677.72452737373|81513.10878658392|103245.29161504155|126379.81210997564|152632.38782120595|184275.41968175914|225287.1000168895|284367.3571433348|391276.0401925725|999934.7826058513|99885|1138056.242084382|99885|1082856.3633833707|99885|1058231.2714050668|99885|1041541.9060245551|99885|1020680.3708266986|99884|1004131.6126115829|99885|990766.615007488|99885|969412.5874862219|99885|947606.6589020648|99885|906257.8619581343</x:v>
      </x:c>
    </x:row>
    <x:row r="9">
      <x:c r="B9" t="str">
        <x:v>31638|54090|40580|27792|19213|13622|9909|7237|5492|4112|3169|2533|1967|1586|1196|1019|856|704|589|488|2969</x:v>
      </x:c>
    </x:row>
    <x:row r="12">
      <x:c r="B12" t="str">
        <x:v>104963|179663|135581|92945|64532|45302|32774|24134|17822|13432|10496|8277|6415|5119|4251|3274|2800|2364|1935|1591|10418</x:v>
      </x:c>
    </x:row>
  </x:sheetData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Data>
    <x:row r="1">
      <x:c r="A1" s="2" t="str">
        <x:v>Age (years)</x:v>
      </x:c>
      <x:c r="B1" s="2" t="str">
        <x:v>Mean price (INR)</x:v>
      </x:c>
      <x:c r="C1" s="2" t="str">
        <x:v>Age-group n</x:v>
      </x:c>
      <x:c r="D1" s="2"/>
      <x:c r="E1" s="2" t="str">
        <x:v>Usage decile</x:v>
      </x:c>
      <x:c r="F1" s="2" t="str">
        <x:v>Mean price (INR)</x:v>
      </x:c>
      <x:c r="G1" s="2" t="str">
        <x:v>Decile n</x:v>
      </x:c>
      <x:c r="H1" s="2" t="str">
        <x:v>Lower boundary (km)</x:v>
      </x:c>
      <x:c r="I1" s="2" t="str">
        <x:v>Upper boundary (km)</x:v>
      </x:c>
      <x:c r="J1" s="2"/>
      <x:c r="K1" s="2" t="str">
        <x:v>Price bin (INR million)</x:v>
      </x:c>
      <x:c r="L1" s="2" t="str">
        <x:v>Luxury (%)</x:v>
      </x:c>
      <x:c r="M1" s="2" t="str">
        <x:v>Non-luxury (%)</x:v>
      </x:c>
      <x:c r="N1" s="2" t="str">
        <x:v>Luxury n</x:v>
      </x:c>
      <x:c r="O1" s="2" t="str">
        <x:v>Non-luxury n</x:v>
      </x:c>
    </x:row>
    <x:row r="2">
      <x:c r="A2">
        <x:v>1</x:v>
      </x:c>
      <x:c r="B2" cm="1">
        <x:f t="array" ref="B2">VALUE(INDEX(_xlfn.TEXTSPLIT(Grouped_Means!$B$2,"|"),1,2))</x:f>
        <x:v>1015186.91759028</x:v>
      </x:c>
      <x:c r="C2" cm="1">
        <x:f t="array" ref="C2">VALUE(INDEX(_xlfn.TEXTSPLIT(Grouped_Means!$B$2,"|"),1,1))</x:f>
        <x:v>39982</x:v>
      </x:c>
      <x:c r="E2">
        <x:v>1</x:v>
      </x:c>
      <x:c r="F2" cm="1">
        <x:f t="array" ref="F2">VALUE(INDEX(_xlfn.TEXTSPLIT(Grouped_Means!$B$5,"|"),1,13))</x:f>
        <x:v>1138056.24208438</x:v>
      </x:c>
      <x:c r="G2" cm="1">
        <x:f t="array" ref="G2">VALUE(INDEX(_xlfn.TEXTSPLIT(Grouped_Means!$B$5,"|"),1,12))</x:f>
        <x:v>99885</x:v>
      </x:c>
      <x:c r="H2" cm="1">
        <x:f t="array" ref="H2">VALUE(INDEX(_xlfn.TEXTSPLIT(Grouped_Means!$B$5,"|"),1,1))</x:f>
        <x:v>4508.65358809465</x:v>
      </x:c>
      <x:c r="I2" cm="1">
        <x:f t="array" ref="I2">VALUE(INDEX(_xlfn.TEXTSPLIT(Grouped_Means!$B$5,"|"),1,2))</x:f>
        <x:v>58677.7245273737</x:v>
      </x:c>
      <x:c r="K2" t="str">
        <x:v>0.00–0.25</x:v>
      </x:c>
      <x:c r="L2">
        <x:f>100*N2/Summary!$D$14</x:f>
        <x:v>13.7102890003077</x:v>
      </x:c>
      <x:c r="M2">
        <x:f>100*O2/Summary!$D$17</x:f>
        <x:v>13.6654914541042</x:v>
      </x:c>
      <x:c r="N2" cm="1">
        <x:f t="array" ref="N2">VALUE(INDEX(_xlfn.TEXTSPLIT(Grouped_Means!$B$9,"|"),1,1))</x:f>
        <x:v>31638</x:v>
      </x:c>
      <x:c r="O2" cm="1">
        <x:f t="array" ref="O2">VALUE(INDEX(_xlfn.TEXTSPLIT(Grouped_Means!$B$12,"|"),1,1))</x:f>
        <x:v>104963</x:v>
      </x:c>
      <x:c r="P2">
        <x:v>0.0</x:v>
      </x:c>
      <x:c r="R2">
        <x:v>1</x:v>
      </x:c>
    </x:row>
    <x:row r="3">
      <x:c r="A3">
        <x:v>2</x:v>
      </x:c>
      <x:c r="B3" cm="1">
        <x:f t="array" ref="B3">VALUE(INDEX(_xlfn.TEXTSPLIT(Grouped_Means!$B$2,"|"),1,4))</x:f>
        <x:v>1014891.98992331</x:v>
      </x:c>
      <x:c r="C3" cm="1">
        <x:f t="array" ref="C3">VALUE(INDEX(_xlfn.TEXTSPLIT(Grouped_Means!$B$2,"|"),1,3))</x:f>
        <x:v>39888</x:v>
      </x:c>
      <x:c r="E3">
        <x:v>2</x:v>
      </x:c>
      <x:c r="F3" cm="1">
        <x:f t="array" ref="F3">VALUE(INDEX(_xlfn.TEXTSPLIT(Grouped_Means!$B$5,"|"),1,15))</x:f>
        <x:v>1082856.36338337</x:v>
      </x:c>
      <x:c r="G3" cm="1">
        <x:f t="array" ref="G3">VALUE(INDEX(_xlfn.TEXTSPLIT(Grouped_Means!$B$5,"|"),1,14))</x:f>
        <x:v>99885</x:v>
      </x:c>
      <x:c r="H3" cm="1">
        <x:f t="array" ref="H3">VALUE(INDEX(_xlfn.TEXTSPLIT(Grouped_Means!$B$5,"|"),1,2))</x:f>
        <x:v>58677.7245273737</x:v>
      </x:c>
      <x:c r="I3" cm="1">
        <x:f t="array" ref="I3">VALUE(INDEX(_xlfn.TEXTSPLIT(Grouped_Means!$B$5,"|"),1,3))</x:f>
        <x:v>81513.1087865839</x:v>
      </x:c>
      <x:c r="K3" t="str">
        <x:v>0.25–0.50</x:v>
      </x:c>
      <x:c r="L3">
        <x:f>100*N3/Summary!$D$14</x:f>
        <x:v>23.4398360208181</x:v>
      </x:c>
      <x:c r="M3">
        <x:f>100*O3/Summary!$D$17</x:f>
        <x:v>23.3909395798398</x:v>
      </x:c>
      <x:c r="N3" cm="1">
        <x:f t="array" ref="N3">VALUE(INDEX(_xlfn.TEXTSPLIT(Grouped_Means!$B$9,"|"),1,2))</x:f>
        <x:v>54090</x:v>
      </x:c>
      <x:c r="O3" cm="1">
        <x:f t="array" ref="O3">VALUE(INDEX(_xlfn.TEXTSPLIT(Grouped_Means!$B$12,"|"),1,2))</x:f>
        <x:v>179663</x:v>
      </x:c>
    </x:row>
    <x:row r="4">
      <x:c r="A4">
        <x:v>3</x:v>
      </x:c>
      <x:c r="B4" cm="1">
        <x:f t="array" ref="B4">VALUE(INDEX(_xlfn.TEXTSPLIT(Grouped_Means!$B$2,"|"),1,6))</x:f>
        <x:v>1027267.58171547</x:v>
      </x:c>
      <x:c r="C4" cm="1">
        <x:f t="array" ref="C4">VALUE(INDEX(_xlfn.TEXTSPLIT(Grouped_Means!$B$2,"|"),1,5))</x:f>
        <x:v>39940</x:v>
      </x:c>
      <x:c r="E4">
        <x:v>3</x:v>
      </x:c>
      <x:c r="F4" cm="1">
        <x:f t="array" ref="F4">VALUE(INDEX(_xlfn.TEXTSPLIT(Grouped_Means!$B$5,"|"),1,17))</x:f>
        <x:v>1058231.27140507</x:v>
      </x:c>
      <x:c r="G4" cm="1">
        <x:f t="array" ref="G4">VALUE(INDEX(_xlfn.TEXTSPLIT(Grouped_Means!$B$5,"|"),1,16))</x:f>
        <x:v>99885</x:v>
      </x:c>
      <x:c r="H4" cm="1">
        <x:f t="array" ref="H4">VALUE(INDEX(_xlfn.TEXTSPLIT(Grouped_Means!$B$5,"|"),1,3))</x:f>
        <x:v>81513.1087865839</x:v>
      </x:c>
      <x:c r="I4" cm="1">
        <x:f t="array" ref="I4">VALUE(INDEX(_xlfn.TEXTSPLIT(Grouped_Means!$B$5,"|"),1,4))</x:f>
        <x:v>103245.291615042</x:v>
      </x:c>
      <x:c r="K4" t="str">
        <x:v>0.50–0.75</x:v>
      </x:c>
      <x:c r="L4">
        <x:f>100*N4/Summary!$D$14</x:f>
        <x:v>17.5852938754816</x:v>
      </x:c>
      <x:c r="M4">
        <x:f>100*O4/Summary!$D$17</x:f>
        <x:v>17.6517534449178</x:v>
      </x:c>
      <x:c r="N4" cm="1">
        <x:f t="array" ref="N4">VALUE(INDEX(_xlfn.TEXTSPLIT(Grouped_Means!$B$9,"|"),1,3))</x:f>
        <x:v>40580</x:v>
      </x:c>
      <x:c r="O4" cm="1">
        <x:f t="array" ref="O4">VALUE(INDEX(_xlfn.TEXTSPLIT(Grouped_Means!$B$12,"|"),1,3))</x:f>
        <x:v>135581</x:v>
      </x:c>
      <x:c r="P4">
        <x:v>0.5</x:v>
      </x:c>
    </x:row>
    <x:row r="5">
      <x:c r="A5">
        <x:v>4</x:v>
      </x:c>
      <x:c r="B5" cm="1">
        <x:f t="array" ref="B5">VALUE(INDEX(_xlfn.TEXTSPLIT(Grouped_Means!$B$2,"|"),1,8))</x:f>
        <x:v>1016897.93818252</x:v>
      </x:c>
      <x:c r="C5" cm="1">
        <x:f t="array" ref="C5">VALUE(INDEX(_xlfn.TEXTSPLIT(Grouped_Means!$B$2,"|"),1,7))</x:f>
        <x:v>39910</x:v>
      </x:c>
      <x:c r="E5">
        <x:v>4</x:v>
      </x:c>
      <x:c r="F5" cm="1">
        <x:f t="array" ref="F5">VALUE(INDEX(_xlfn.TEXTSPLIT(Grouped_Means!$B$5,"|"),1,19))</x:f>
        <x:v>1041541.90602456</x:v>
      </x:c>
      <x:c r="G5" cm="1">
        <x:f t="array" ref="G5">VALUE(INDEX(_xlfn.TEXTSPLIT(Grouped_Means!$B$5,"|"),1,18))</x:f>
        <x:v>99885</x:v>
      </x:c>
      <x:c r="H5" cm="1">
        <x:f t="array" ref="H5">VALUE(INDEX(_xlfn.TEXTSPLIT(Grouped_Means!$B$5,"|"),1,4))</x:f>
        <x:v>103245.291615042</x:v>
      </x:c>
      <x:c r="I5" cm="1">
        <x:f t="array" ref="I5">VALUE(INDEX(_xlfn.TEXTSPLIT(Grouped_Means!$B$5,"|"),1,5))</x:f>
        <x:v>126379.812109976</x:v>
      </x:c>
      <x:c r="K5" t="str">
        <x:v>0.75–1.00</x:v>
      </x:c>
      <x:c r="L5">
        <x:f>100*N5/Summary!$D$14</x:f>
        <x:v>12.0436295561208</x:v>
      </x:c>
      <x:c r="M5">
        <x:f>100*O5/Summary!$D$17</x:f>
        <x:v>12.1008269885742</x:v>
      </x:c>
      <x:c r="N5" cm="1">
        <x:f t="array" ref="N5">VALUE(INDEX(_xlfn.TEXTSPLIT(Grouped_Means!$B$9,"|"),1,4))</x:f>
        <x:v>27792</x:v>
      </x:c>
      <x:c r="O5" cm="1">
        <x:f t="array" ref="O5">VALUE(INDEX(_xlfn.TEXTSPLIT(Grouped_Means!$B$12,"|"),1,4))</x:f>
        <x:v>92945</x:v>
      </x:c>
    </x:row>
    <x:row r="6">
      <x:c r="A6">
        <x:v>5</x:v>
      </x:c>
      <x:c r="B6" cm="1">
        <x:f t="array" ref="B6">VALUE(INDEX(_xlfn.TEXTSPLIT(Grouped_Means!$B$2,"|"),1,10))</x:f>
        <x:v>1022421.29088235</x:v>
      </x:c>
      <x:c r="C6" cm="1">
        <x:f t="array" ref="C6">VALUE(INDEX(_xlfn.TEXTSPLIT(Grouped_Means!$B$2,"|"),1,9))</x:f>
        <x:v>39773</x:v>
      </x:c>
      <x:c r="E6">
        <x:v>5</x:v>
      </x:c>
      <x:c r="F6" cm="1">
        <x:f t="array" ref="F6">VALUE(INDEX(_xlfn.TEXTSPLIT(Grouped_Means!$B$5,"|"),1,21))</x:f>
        <x:v>1020680.3708267</x:v>
      </x:c>
      <x:c r="G6" cm="1">
        <x:f t="array" ref="G6">VALUE(INDEX(_xlfn.TEXTSPLIT(Grouped_Means!$B$5,"|"),1,20))</x:f>
        <x:v>99885</x:v>
      </x:c>
      <x:c r="H6" cm="1">
        <x:f t="array" ref="H6">VALUE(INDEX(_xlfn.TEXTSPLIT(Grouped_Means!$B$5,"|"),1,5))</x:f>
        <x:v>126379.812109976</x:v>
      </x:c>
      <x:c r="I6" cm="1">
        <x:f t="array" ref="I6">VALUE(INDEX(_xlfn.TEXTSPLIT(Grouped_Means!$B$5,"|"),1,6))</x:f>
        <x:v>152632.387821206</x:v>
      </x:c>
      <x:c r="K6" t="str">
        <x:v>1.00–1.25</x:v>
      </x:c>
      <x:c r="L6">
        <x:f>100*N6/Summary!$D$14</x:f>
        <x:v>8.32593029151373</x:v>
      </x:c>
      <x:c r="M6">
        <x:f>100*O6/Summary!$D$17</x:f>
        <x:v>8.40164147858058</x:v>
      </x:c>
      <x:c r="N6" cm="1">
        <x:f t="array" ref="N6">VALUE(INDEX(_xlfn.TEXTSPLIT(Grouped_Means!$B$9,"|"),1,5))</x:f>
        <x:v>19213</x:v>
      </x:c>
      <x:c r="O6" cm="1">
        <x:f t="array" ref="O6">VALUE(INDEX(_xlfn.TEXTSPLIT(Grouped_Means!$B$12,"|"),1,5))</x:f>
        <x:v>64532</x:v>
      </x:c>
      <x:c r="P6">
        <x:v>1.0</x:v>
      </x:c>
      <x:c r="R6">
        <x:v>5</x:v>
      </x:c>
    </x:row>
    <x:row r="7">
      <x:c r="A7">
        <x:v>6</x:v>
      </x:c>
      <x:c r="B7" cm="1">
        <x:f t="array" ref="B7">VALUE(INDEX(_xlfn.TEXTSPLIT(Grouped_Means!$B$2,"|"),1,12))</x:f>
        <x:v>1014856.81266993</x:v>
      </x:c>
      <x:c r="C7" cm="1">
        <x:f t="array" ref="C7">VALUE(INDEX(_xlfn.TEXTSPLIT(Grouped_Means!$B$2,"|"),1,11))</x:f>
        <x:v>40309</x:v>
      </x:c>
      <x:c r="E7">
        <x:v>6</x:v>
      </x:c>
      <x:c r="F7" cm="1">
        <x:f t="array" ref="F7">VALUE(INDEX(_xlfn.TEXTSPLIT(Grouped_Means!$B$5,"|"),1,23))</x:f>
        <x:v>1004131.61261158</x:v>
      </x:c>
      <x:c r="G7" cm="1">
        <x:f t="array" ref="G7">VALUE(INDEX(_xlfn.TEXTSPLIT(Grouped_Means!$B$5,"|"),1,22))</x:f>
        <x:v>99884</x:v>
      </x:c>
      <x:c r="H7" cm="1">
        <x:f t="array" ref="H7">VALUE(INDEX(_xlfn.TEXTSPLIT(Grouped_Means!$B$5,"|"),1,6))</x:f>
        <x:v>152632.387821206</x:v>
      </x:c>
      <x:c r="I7" cm="1">
        <x:f t="array" ref="I7">VALUE(INDEX(_xlfn.TEXTSPLIT(Grouped_Means!$B$5,"|"),1,7))</x:f>
        <x:v>184275.419681759</x:v>
      </x:c>
      <x:c r="K7" t="str">
        <x:v>1.25–1.50</x:v>
      </x:c>
      <x:c r="L7">
        <x:f>100*N7/Summary!$D$14</x:f>
        <x:v>5.90307720975382</x:v>
      </x:c>
      <x:c r="M7">
        <x:f>100*O7/Summary!$D$17</x:f>
        <x:v>5.89802210163419</x:v>
      </x:c>
      <x:c r="N7" cm="1">
        <x:f t="array" ref="N7">VALUE(INDEX(_xlfn.TEXTSPLIT(Grouped_Means!$B$9,"|"),1,6))</x:f>
        <x:v>13622</x:v>
      </x:c>
      <x:c r="O7" cm="1">
        <x:f t="array" ref="O7">VALUE(INDEX(_xlfn.TEXTSPLIT(Grouped_Means!$B$12,"|"),1,6))</x:f>
        <x:v>45302</x:v>
      </x:c>
    </x:row>
    <x:row r="8">
      <x:c r="A8">
        <x:v>7</x:v>
      </x:c>
      <x:c r="B8" cm="1">
        <x:f t="array" ref="B8">VALUE(INDEX(_xlfn.TEXTSPLIT(Grouped_Means!$B$2,"|"),1,14))</x:f>
        <x:v>1013103.13786524</x:v>
      </x:c>
      <x:c r="C8" cm="1">
        <x:f t="array" ref="C8">VALUE(INDEX(_xlfn.TEXTSPLIT(Grouped_Means!$B$2,"|"),1,13))</x:f>
        <x:v>39706</x:v>
      </x:c>
      <x:c r="E8">
        <x:v>7</x:v>
      </x:c>
      <x:c r="F8" cm="1">
        <x:f t="array" ref="F8">VALUE(INDEX(_xlfn.TEXTSPLIT(Grouped_Means!$B$5,"|"),1,25))</x:f>
        <x:v>990766.615007488</x:v>
      </x:c>
      <x:c r="G8" cm="1">
        <x:f t="array" ref="G8">VALUE(INDEX(_xlfn.TEXTSPLIT(Grouped_Means!$B$5,"|"),1,24))</x:f>
        <x:v>99885</x:v>
      </x:c>
      <x:c r="H8" cm="1">
        <x:f t="array" ref="H8">VALUE(INDEX(_xlfn.TEXTSPLIT(Grouped_Means!$B$5,"|"),1,7))</x:f>
        <x:v>184275.419681759</x:v>
      </x:c>
      <x:c r="I8" cm="1">
        <x:f t="array" ref="I8">VALUE(INDEX(_xlfn.TEXTSPLIT(Grouped_Means!$B$5,"|"),1,8))</x:f>
        <x:v>225287.10001689</x:v>
      </x:c>
      <x:c r="K8" t="str">
        <x:v>1.50–1.75</x:v>
      </x:c>
      <x:c r="L8">
        <x:f>100*N8/Summary!$D$14</x:f>
        <x:v>4.29405315456251</x:v>
      </x:c>
      <x:c r="M8">
        <x:f>100*O8/Summary!$D$17</x:f>
        <x:v>4.26695899428191</x:v>
      </x:c>
      <x:c r="N8" cm="1">
        <x:f t="array" ref="N8">VALUE(INDEX(_xlfn.TEXTSPLIT(Grouped_Means!$B$9,"|"),1,7))</x:f>
        <x:v>9909</x:v>
      </x:c>
      <x:c r="O8" cm="1">
        <x:f t="array" ref="O8">VALUE(INDEX(_xlfn.TEXTSPLIT(Grouped_Means!$B$12,"|"),1,7))</x:f>
        <x:v>32774</x:v>
      </x:c>
      <x:c r="P8">
        <x:v>1.5</x:v>
      </x:c>
    </x:row>
    <x:row r="9">
      <x:c r="A9">
        <x:v>8</x:v>
      </x:c>
      <x:c r="B9" cm="1">
        <x:f t="array" ref="B9">VALUE(INDEX(_xlfn.TEXTSPLIT(Grouped_Means!$B$2,"|"),1,16))</x:f>
        <x:v>1018347.23169898</x:v>
      </x:c>
      <x:c r="C9" cm="1">
        <x:f t="array" ref="C9">VALUE(INDEX(_xlfn.TEXTSPLIT(Grouped_Means!$B$2,"|"),1,15))</x:f>
        <x:v>40166</x:v>
      </x:c>
      <x:c r="E9">
        <x:v>8</x:v>
      </x:c>
      <x:c r="F9" cm="1">
        <x:f t="array" ref="F9">VALUE(INDEX(_xlfn.TEXTSPLIT(Grouped_Means!$B$5,"|"),1,27))</x:f>
        <x:v>969412.587486222</x:v>
      </x:c>
      <x:c r="G9" cm="1">
        <x:f t="array" ref="G9">VALUE(INDEX(_xlfn.TEXTSPLIT(Grouped_Means!$B$5,"|"),1,26))</x:f>
        <x:v>99885</x:v>
      </x:c>
      <x:c r="H9" cm="1">
        <x:f t="array" ref="H9">VALUE(INDEX(_xlfn.TEXTSPLIT(Grouped_Means!$B$5,"|"),1,8))</x:f>
        <x:v>225287.10001689</x:v>
      </x:c>
      <x:c r="I9" cm="1">
        <x:f t="array" ref="I9">VALUE(INDEX(_xlfn.TEXTSPLIT(Grouped_Means!$B$5,"|"),1,9))</x:f>
        <x:v>284367.357143335</x:v>
      </x:c>
      <x:c r="K9" t="str">
        <x:v>1.75–2.00</x:v>
      </x:c>
      <x:c r="L9">
        <x:f>100*N9/Summary!$D$14</x:f>
        <x:v>3.13614518917841</x:v>
      </x:c>
      <x:c r="M9">
        <x:f>100*O9/Summary!$D$17</x:f>
        <x:v>3.14208788576309</x:v>
      </x:c>
      <x:c r="N9" cm="1">
        <x:f t="array" ref="N9">VALUE(INDEX(_xlfn.TEXTSPLIT(Grouped_Means!$B$9,"|"),1,8))</x:f>
        <x:v>7237</x:v>
      </x:c>
      <x:c r="O9" cm="1">
        <x:f t="array" ref="O9">VALUE(INDEX(_xlfn.TEXTSPLIT(Grouped_Means!$B$12,"|"),1,8))</x:f>
        <x:v>24134</x:v>
      </x:c>
    </x:row>
    <x:row r="10">
      <x:c r="A10">
        <x:v>9</x:v>
      </x:c>
      <x:c r="B10" cm="1">
        <x:f t="array" ref="B10">VALUE(INDEX(_xlfn.TEXTSPLIT(Grouped_Means!$B$2,"|"),1,18))</x:f>
        <x:v>1007724.94380646</x:v>
      </x:c>
      <x:c r="C10" cm="1">
        <x:f t="array" ref="C10">VALUE(INDEX(_xlfn.TEXTSPLIT(Grouped_Means!$B$2,"|"),1,17))</x:f>
        <x:v>39725</x:v>
      </x:c>
      <x:c r="E10">
        <x:v>9</x:v>
      </x:c>
      <x:c r="F10" cm="1">
        <x:f t="array" ref="F10">VALUE(INDEX(_xlfn.TEXTSPLIT(Grouped_Means!$B$5,"|"),1,29))</x:f>
        <x:v>947606.658902065</x:v>
      </x:c>
      <x:c r="G10" cm="1">
        <x:f t="array" ref="G10">VALUE(INDEX(_xlfn.TEXTSPLIT(Grouped_Means!$B$5,"|"),1,28))</x:f>
        <x:v>99885</x:v>
      </x:c>
      <x:c r="H10" cm="1">
        <x:f t="array" ref="H10">VALUE(INDEX(_xlfn.TEXTSPLIT(Grouped_Means!$B$5,"|"),1,9))</x:f>
        <x:v>284367.357143335</x:v>
      </x:c>
      <x:c r="I10" cm="1">
        <x:f t="array" ref="I10">VALUE(INDEX(_xlfn.TEXTSPLIT(Grouped_Means!$B$5,"|"),1,10))</x:f>
        <x:v>391276.040192572</x:v>
      </x:c>
      <x:c r="K10" t="str">
        <x:v>2.00–2.25</x:v>
      </x:c>
      <x:c r="L10">
        <x:f>100*N10/Summary!$D$14</x:f>
        <x:v>2.37995155160534</x:v>
      </x:c>
      <x:c r="M10">
        <x:f>100*O10/Summary!$D$17</x:f>
        <x:v>2.32030704815073</x:v>
      </x:c>
      <x:c r="N10" cm="1">
        <x:f t="array" ref="N10">VALUE(INDEX(_xlfn.TEXTSPLIT(Grouped_Means!$B$9,"|"),1,9))</x:f>
        <x:v>5492</x:v>
      </x:c>
      <x:c r="O10" cm="1">
        <x:f t="array" ref="O10">VALUE(INDEX(_xlfn.TEXTSPLIT(Grouped_Means!$B$12,"|"),1,9))</x:f>
        <x:v>17822</x:v>
      </x:c>
      <x:c r="P10">
        <x:v>2.0</x:v>
      </x:c>
    </x:row>
    <x:row r="11">
      <x:c r="A11">
        <x:v>10</x:v>
      </x:c>
      <x:c r="B11" cm="1">
        <x:f t="array" ref="B11">VALUE(INDEX(_xlfn.TEXTSPLIT(Grouped_Means!$B$2,"|"),1,20))</x:f>
        <x:v>1022043.51377206</x:v>
      </x:c>
      <x:c r="C11" cm="1">
        <x:f t="array" ref="C11">VALUE(INDEX(_xlfn.TEXTSPLIT(Grouped_Means!$B$2,"|"),1,19))</x:f>
        <x:v>39645</x:v>
      </x:c>
      <x:c r="E11">
        <x:v>10</x:v>
      </x:c>
      <x:c r="F11" cm="1">
        <x:f t="array" ref="F11">VALUE(INDEX(_xlfn.TEXTSPLIT(Grouped_Means!$B$5,"|"),1,31))</x:f>
        <x:v>906257.861958134</x:v>
      </x:c>
      <x:c r="G11" cm="1">
        <x:f t="array" ref="G11">VALUE(INDEX(_xlfn.TEXTSPLIT(Grouped_Means!$B$5,"|"),1,30))</x:f>
        <x:v>99885</x:v>
      </x:c>
      <x:c r="H11" cm="1">
        <x:f t="array" ref="H11">VALUE(INDEX(_xlfn.TEXTSPLIT(Grouped_Means!$B$5,"|"),1,10))</x:f>
        <x:v>391276.040192572</x:v>
      </x:c>
      <x:c r="I11" cm="1">
        <x:f t="array" ref="I11">VALUE(INDEX(_xlfn.TEXTSPLIT(Grouped_Means!$B$5,"|"),1,11))</x:f>
        <x:v>999934.782605851</x:v>
      </x:c>
      <x:c r="K11" t="str">
        <x:v>2.25–2.50</x:v>
      </x:c>
      <x:c r="L11">
        <x:f>100*N11/Summary!$D$14</x:f>
        <x:v>1.78193022217792</x:v>
      </x:c>
      <x:c r="M11">
        <x:f>100*O11/Summary!$D$17</x:f>
        <x:v>1.74875795481768</x:v>
      </x:c>
      <x:c r="N11" cm="1">
        <x:f t="array" ref="N11">VALUE(INDEX(_xlfn.TEXTSPLIT(Grouped_Means!$B$9,"|"),1,10))</x:f>
        <x:v>4112</x:v>
      </x:c>
      <x:c r="O11" cm="1">
        <x:f t="array" ref="O11">VALUE(INDEX(_xlfn.TEXTSPLIT(Grouped_Means!$B$12,"|"),1,10))</x:f>
        <x:v>13432</x:v>
      </x:c>
      <x:c r="R11">
        <x:v>10</x:v>
      </x:c>
    </x:row>
    <x:row r="12">
      <x:c r="A12">
        <x:v>11</x:v>
      </x:c>
      <x:c r="B12" cm="1">
        <x:f t="array" ref="B12">VALUE(INDEX(_xlfn.TEXTSPLIT(Grouped_Means!$B$2,"|"),1,22))</x:f>
        <x:v>1014575.76109396</x:v>
      </x:c>
      <x:c r="C12" cm="1">
        <x:f t="array" ref="C12">VALUE(INDEX(_xlfn.TEXTSPLIT(Grouped_Means!$B$2,"|"),1,21))</x:f>
        <x:v>40034</x:v>
      </x:c>
      <x:c r="K12" t="str">
        <x:v>2.50–2.75</x:v>
      </x:c>
      <x:c r="L12">
        <x:f>100*N12/Summary!$D$14</x:f>
        <x:v>1.37328231373586</x:v>
      </x:c>
      <x:c r="M12">
        <x:f>100*O12/Summary!$D$17</x:f>
        <x:v>1.36651008738582</x:v>
      </x:c>
      <x:c r="N12" cm="1">
        <x:f t="array" ref="N12">VALUE(INDEX(_xlfn.TEXTSPLIT(Grouped_Means!$B$9,"|"),1,11))</x:f>
        <x:v>3169</x:v>
      </x:c>
      <x:c r="O12" cm="1">
        <x:f t="array" ref="O12">VALUE(INDEX(_xlfn.TEXTSPLIT(Grouped_Means!$B$12,"|"),1,11))</x:f>
        <x:v>10496</x:v>
      </x:c>
      <x:c r="P12">
        <x:v>2.5</x:v>
      </x:c>
    </x:row>
    <x:row r="13">
      <x:c r="A13">
        <x:v>12</x:v>
      </x:c>
      <x:c r="B13" cm="1">
        <x:f t="array" ref="B13">VALUE(INDEX(_xlfn.TEXTSPLIT(Grouped_Means!$B$2,"|"),1,24))</x:f>
        <x:v>1017872.44097283</x:v>
      </x:c>
      <x:c r="C13" cm="1">
        <x:f t="array" ref="C13">VALUE(INDEX(_xlfn.TEXTSPLIT(Grouped_Means!$B$2,"|"),1,23))</x:f>
        <x:v>39804</x:v>
      </x:c>
      <x:c r="G13" t="b">
        <x:f>SUM(G2:G11)=Summary!D11</x:f>
        <x:v>1</x:v>
      </x:c>
      <x:c r="K13" t="str">
        <x:v>2.75–3.00</x:v>
      </x:c>
      <x:c r="L13">
        <x:f>100*N13/Summary!$D$14</x:f>
        <x:v>1.09767248365192</x:v>
      </x:c>
      <x:c r="M13">
        <x:f>100*O13/Summary!$D$17</x:f>
        <x:v>1.07761089875118</x:v>
      </x:c>
      <x:c r="N13" cm="1">
        <x:f t="array" ref="N13">VALUE(INDEX(_xlfn.TEXTSPLIT(Grouped_Means!$B$9,"|"),1,12))</x:f>
        <x:v>2533</x:v>
      </x:c>
      <x:c r="O13" cm="1">
        <x:f t="array" ref="O13">VALUE(INDEX(_xlfn.TEXTSPLIT(Grouped_Means!$B$12,"|"),1,12))</x:f>
        <x:v>8277</x:v>
      </x:c>
    </x:row>
    <x:row r="14">
      <x:c r="A14">
        <x:v>13</x:v>
      </x:c>
      <x:c r="B14" cm="1">
        <x:f t="array" ref="B14">VALUE(INDEX(_xlfn.TEXTSPLIT(Grouped_Means!$B$2,"|"),1,26))</x:f>
        <x:v>1017803.38120206</x:v>
      </x:c>
      <x:c r="C14" cm="1">
        <x:f t="array" ref="C14">VALUE(INDEX(_xlfn.TEXTSPLIT(Grouped_Means!$B$2,"|"),1,25))</x:f>
        <x:v>40235</x:v>
      </x:c>
      <x:c r="K14" t="str">
        <x:v>3.00–3.25</x:v>
      </x:c>
      <x:c r="L14">
        <x:f>100*N14/Summary!$D$14</x:f>
        <x:v>0.852397068828788</x:v>
      </x:c>
      <x:c r="M14">
        <x:f>100*O14/Summary!$D$17</x:f>
        <x:v>0.835190759392153</x:v>
      </x:c>
      <x:c r="N14" cm="1">
        <x:f t="array" ref="N14">VALUE(INDEX(_xlfn.TEXTSPLIT(Grouped_Means!$B$9,"|"),1,13))</x:f>
        <x:v>1967</x:v>
      </x:c>
      <x:c r="O14" cm="1">
        <x:f t="array" ref="O14">VALUE(INDEX(_xlfn.TEXTSPLIT(Grouped_Means!$B$12,"|"),1,13))</x:f>
        <x:v>6415</x:v>
      </x:c>
      <x:c r="P14">
        <x:v>3.0</x:v>
      </x:c>
    </x:row>
    <x:row r="15">
      <x:c r="A15">
        <x:v>14</x:v>
      </x:c>
      <x:c r="B15" cm="1">
        <x:f t="array" ref="B15">VALUE(INDEX(_xlfn.TEXTSPLIT(Grouped_Means!$B$2,"|"),1,28))</x:f>
        <x:v>1014957.105943</x:v>
      </x:c>
      <x:c r="C15" cm="1">
        <x:f t="array" ref="C15">VALUE(INDEX(_xlfn.TEXTSPLIT(Grouped_Means!$B$2,"|"),1,27))</x:f>
        <x:v>39881</x:v>
      </x:c>
      <x:c r="K15" t="str">
        <x:v>3.25–3.50</x:v>
      </x:c>
      <x:c r="L15">
        <x:f>100*N15/Summary!$D$14</x:f>
        <x:v>0.687291180052088</x:v>
      </x:c>
      <x:c r="M15">
        <x:f>100*O15/Summary!$D$17</x:f>
        <x:v>0.666460093114331</x:v>
      </x:c>
      <x:c r="N15" cm="1">
        <x:f t="array" ref="N15">VALUE(INDEX(_xlfn.TEXTSPLIT(Grouped_Means!$B$9,"|"),1,14))</x:f>
        <x:v>1586</x:v>
      </x:c>
      <x:c r="O15" cm="1">
        <x:f t="array" ref="O15">VALUE(INDEX(_xlfn.TEXTSPLIT(Grouped_Means!$B$12,"|"),1,14))</x:f>
        <x:v>5119</x:v>
      </x:c>
    </x:row>
    <x:row r="16">
      <x:c r="A16">
        <x:v>15</x:v>
      </x:c>
      <x:c r="B16" cm="1">
        <x:f t="array" ref="B16">VALUE(INDEX(_xlfn.TEXTSPLIT(Grouped_Means!$B$2,"|"),1,30))</x:f>
        <x:v>1011814.51204509</x:v>
      </x:c>
      <x:c r="C16" cm="1">
        <x:f t="array" ref="C16">VALUE(INDEX(_xlfn.TEXTSPLIT(Grouped_Means!$B$2,"|"),1,29))</x:f>
        <x:v>39985</x:v>
      </x:c>
      <x:c r="K16" t="str">
        <x:v>3.50–3.75</x:v>
      </x:c>
      <x:c r="L16">
        <x:f>100*N16/Summary!$D$14</x:f>
        <x:v>0.518285152170427</x:v>
      </x:c>
      <x:c r="M16">
        <x:f>100*O16/Summary!$D$17</x:f>
        <x:v>0.553452208601098</x:v>
      </x:c>
      <x:c r="N16" cm="1">
        <x:f t="array" ref="N16">VALUE(INDEX(_xlfn.TEXTSPLIT(Grouped_Means!$B$9,"|"),1,15))</x:f>
        <x:v>1196</x:v>
      </x:c>
      <x:c r="O16" cm="1">
        <x:f t="array" ref="O16">VALUE(INDEX(_xlfn.TEXTSPLIT(Grouped_Means!$B$12,"|"),1,15))</x:f>
        <x:v>4251</x:v>
      </x:c>
      <x:c r="P16">
        <x:v>3.5</x:v>
      </x:c>
      <x:c r="R16">
        <x:v>15</x:v>
      </x:c>
    </x:row>
    <x:row r="17">
      <x:c r="A17">
        <x:v>16</x:v>
      </x:c>
      <x:c r="B17" cm="1">
        <x:f t="array" ref="B17">VALUE(INDEX(_xlfn.TEXTSPLIT(Grouped_Means!$B$2,"|"),1,32))</x:f>
        <x:v>1021277.7519737</x:v>
      </x:c>
      <x:c r="C17" cm="1">
        <x:f t="array" ref="C17">VALUE(INDEX(_xlfn.TEXTSPLIT(Grouped_Means!$B$2,"|"),1,31))</x:f>
        <x:v>39698</x:v>
      </x:c>
      <x:c r="K17" t="str">
        <x:v>3.75–4.00</x:v>
      </x:c>
      <x:c r="L17">
        <x:f>100*N17/Summary!$D$14</x:f>
        <x:v>0.44158241643952</x:v>
      </x:c>
      <x:c r="M17">
        <x:f>100*O17/Summary!$D$17</x:f>
        <x:v>0.426253241816042</x:v>
      </x:c>
      <x:c r="N17" cm="1">
        <x:f t="array" ref="N17">VALUE(INDEX(_xlfn.TEXTSPLIT(Grouped_Means!$B$9,"|"),1,16))</x:f>
        <x:v>1019</x:v>
      </x:c>
      <x:c r="O17" cm="1">
        <x:f t="array" ref="O17">VALUE(INDEX(_xlfn.TEXTSPLIT(Grouped_Means!$B$12,"|"),1,16))</x:f>
        <x:v>3274</x:v>
      </x:c>
    </x:row>
    <x:row r="18">
      <x:c r="A18">
        <x:v>17</x:v>
      </x:c>
      <x:c r="B18" cm="1">
        <x:f t="array" ref="B18">VALUE(INDEX(_xlfn.TEXTSPLIT(Grouped_Means!$B$2,"|"),1,34))</x:f>
        <x:v>1012984.96716775</x:v>
      </x:c>
      <x:c r="C18" cm="1">
        <x:f t="array" ref="C18">VALUE(INDEX(_xlfn.TEXTSPLIT(Grouped_Means!$B$2,"|"),1,33))</x:f>
        <x:v>40076</x:v>
      </x:c>
      <x:c r="K18" t="str">
        <x:v>4.00–4.25</x:v>
      </x:c>
      <x:c r="L18">
        <x:f>100*N18/Summary!$D$14</x:f>
        <x:v>0.370946563760774</x:v>
      </x:c>
      <x:c r="M18">
        <x:f>100*O18/Summary!$D$17</x:f>
        <x:v>0.364541562945912</x:v>
      </x:c>
      <x:c r="N18" cm="1">
        <x:f t="array" ref="N18">VALUE(INDEX(_xlfn.TEXTSPLIT(Grouped_Means!$B$9,"|"),1,17))</x:f>
        <x:v>856</x:v>
      </x:c>
      <x:c r="O18" cm="1">
        <x:f t="array" ref="O18">VALUE(INDEX(_xlfn.TEXTSPLIT(Grouped_Means!$B$12,"|"),1,17))</x:f>
        <x:v>2800</x:v>
      </x:c>
      <x:c r="P18">
        <x:v>4.0</x:v>
      </x:c>
    </x:row>
    <x:row r="19">
      <x:c r="A19">
        <x:v>18</x:v>
      </x:c>
      <x:c r="B19" cm="1">
        <x:f t="array" ref="B19">VALUE(INDEX(_xlfn.TEXTSPLIT(Grouped_Means!$B$2,"|"),1,36))</x:f>
        <x:v>1020683.08592465</x:v>
      </x:c>
      <x:c r="C19" cm="1">
        <x:f t="array" ref="C19">VALUE(INDEX(_xlfn.TEXTSPLIT(Grouped_Means!$B$2,"|"),1,35))</x:f>
        <x:v>39958</x:v>
      </x:c>
      <x:c r="K19" t="str">
        <x:v>4.25–4.50</x:v>
      </x:c>
      <x:c r="L19">
        <x:f>100*N19/Summary!$D$14</x:f>
        <x:v>0.30507754776587</x:v>
      </x:c>
      <x:c r="M19">
        <x:f>100*O19/Summary!$D$17</x:f>
        <x:v>0.30777723385862</x:v>
      </x:c>
      <x:c r="N19" cm="1">
        <x:f t="array" ref="N19">VALUE(INDEX(_xlfn.TEXTSPLIT(Grouped_Means!$B$9,"|"),1,18))</x:f>
        <x:v>704</x:v>
      </x:c>
      <x:c r="O19" cm="1">
        <x:f t="array" ref="O19">VALUE(INDEX(_xlfn.TEXTSPLIT(Grouped_Means!$B$12,"|"),1,18))</x:f>
        <x:v>2364</x:v>
      </x:c>
    </x:row>
    <x:row r="20">
      <x:c r="A20">
        <x:v>19</x:v>
      </x:c>
      <x:c r="B20" cm="1">
        <x:f t="array" ref="B20">VALUE(INDEX(_xlfn.TEXTSPLIT(Grouped_Means!$B$2,"|"),1,38))</x:f>
        <x:v>1013271.34782676</x:v>
      </x:c>
      <x:c r="C20" cm="1">
        <x:f t="array" ref="C20">VALUE(INDEX(_xlfn.TEXTSPLIT(Grouped_Means!$B$2,"|"),1,37))</x:f>
        <x:v>40307</x:v>
      </x:c>
      <x:c r="K20" t="str">
        <x:v>4.50–4.75</x:v>
      </x:c>
      <x:c r="L20">
        <x:f>100*N20/Summary!$D$14</x:f>
        <x:v>0.255242436980252</x:v>
      </x:c>
      <x:c r="M20">
        <x:f>100*O20/Summary!$D$17</x:f>
        <x:v>0.251924258678693</x:v>
      </x:c>
      <x:c r="N20" cm="1">
        <x:f t="array" ref="N20">VALUE(INDEX(_xlfn.TEXTSPLIT(Grouped_Means!$B$9,"|"),1,19))</x:f>
        <x:v>589</x:v>
      </x:c>
      <x:c r="O20" cm="1">
        <x:f t="array" ref="O20">VALUE(INDEX(_xlfn.TEXTSPLIT(Grouped_Means!$B$12,"|"),1,19))</x:f>
        <x:v>1935</x:v>
      </x:c>
      <x:c r="P20">
        <x:v>4.5</x:v>
      </x:c>
    </x:row>
    <x:row r="21">
      <x:c r="A21">
        <x:v>20</x:v>
      </x:c>
      <x:c r="B21" cm="1">
        <x:f t="array" ref="B21">VALUE(INDEX(_xlfn.TEXTSPLIT(Grouped_Means!$B$2,"|"),1,40))</x:f>
        <x:v>1010518.05103589</x:v>
      </x:c>
      <x:c r="C21" cm="1">
        <x:f t="array" ref="C21">VALUE(INDEX(_xlfn.TEXTSPLIT(Grouped_Means!$B$2,"|"),1,39))</x:f>
        <x:v>40219</x:v>
      </x:c>
      <x:c r="K21" t="str">
        <x:v>4.75–5.00</x:v>
      </x:c>
      <x:c r="L21">
        <x:f>100*N21/Summary!$D$14</x:f>
        <x:v>0.211474209246796</x:v>
      </x:c>
      <x:c r="M21">
        <x:f>100*O21/Summary!$D$17</x:f>
        <x:v>0.207137723802481</x:v>
      </x:c>
      <x:c r="N21" cm="1">
        <x:f t="array" ref="N21">VALUE(INDEX(_xlfn.TEXTSPLIT(Grouped_Means!$B$9,"|"),1,20))</x:f>
        <x:v>488</x:v>
      </x:c>
      <x:c r="O21" cm="1">
        <x:f t="array" ref="O21">VALUE(INDEX(_xlfn.TEXTSPLIT(Grouped_Means!$B$12,"|"),1,20))</x:f>
        <x:v>1591</x:v>
      </x:c>
      <x:c r="R21">
        <x:v>20</x:v>
      </x:c>
    </x:row>
    <x:row r="22">
      <x:c r="A22">
        <x:v>21</x:v>
      </x:c>
      <x:c r="B22" cm="1">
        <x:f t="array" ref="B22">VALUE(INDEX(_xlfn.TEXTSPLIT(Grouped_Means!$B$2,"|"),1,42))</x:f>
        <x:v>1007068.89445751</x:v>
      </x:c>
      <x:c r="C22" cm="1">
        <x:f t="array" ref="C22">VALUE(INDEX(_xlfn.TEXTSPLIT(Grouped_Means!$B$2,"|"),1,41))</x:f>
        <x:v>39628</x:v>
      </x:c>
      <x:c r="K22" t="str">
        <x:v>≥5.00</x:v>
      </x:c>
      <x:c r="L22">
        <x:f>100*N22/Summary!$D$14</x:f>
        <x:v>1.28661255584783</x:v>
      </x:c>
      <x:c r="M22">
        <x:f>100*O22/Summary!$D$17</x:f>
        <x:v>1.35635500098947</x:v>
      </x:c>
      <x:c r="N22" cm="1">
        <x:f t="array" ref="N22">VALUE(INDEX(_xlfn.TEXTSPLIT(Grouped_Means!$B$9,"|"),1,21))</x:f>
        <x:v>2969</x:v>
      </x:c>
      <x:c r="O22" cm="1">
        <x:f t="array" ref="O22">VALUE(INDEX(_xlfn.TEXTSPLIT(Grouped_Means!$B$12,"|"),1,21))</x:f>
        <x:v>10418</x:v>
      </x:c>
      <x:c r="P22" t="str">
        <x:v>≥5</x:v>
      </x:c>
    </x:row>
    <x:row r="23">
      <x:c r="A23">
        <x:v>22</x:v>
      </x:c>
      <x:c r="B23" cm="1">
        <x:f t="array" ref="B23">VALUE(INDEX(_xlfn.TEXTSPLIT(Grouped_Means!$B$2,"|"),1,44))</x:f>
        <x:v>1022866.09090855</x:v>
      </x:c>
      <x:c r="C23" cm="1">
        <x:f t="array" ref="C23">VALUE(INDEX(_xlfn.TEXTSPLIT(Grouped_Means!$B$2,"|"),1,43))</x:f>
        <x:v>39998</x:v>
      </x:c>
    </x:row>
    <x:row r="24">
      <x:c r="A24">
        <x:v>23</x:v>
      </x:c>
      <x:c r="B24" cm="1">
        <x:f t="array" ref="B24">VALUE(INDEX(_xlfn.TEXTSPLIT(Grouped_Means!$B$2,"|"),1,46))</x:f>
        <x:v>1011905.5664097</x:v>
      </x:c>
      <x:c r="C24" cm="1">
        <x:f t="array" ref="C24">VALUE(INDEX(_xlfn.TEXTSPLIT(Grouped_Means!$B$2,"|"),1,45))</x:f>
        <x:v>40205</x:v>
      </x:c>
      <x:c r="N24" t="b">
        <x:f>SUM(N2:N22)=Summary!D14</x:f>
        <x:v>1</x:v>
      </x:c>
      <x:c r="O24" t="b">
        <x:f>SUM(O2:O22)=Summary!D17</x:f>
        <x:v>1</x:v>
      </x:c>
    </x:row>
    <x:row r="25">
      <x:c r="A25">
        <x:v>24</x:v>
      </x:c>
      <x:c r="B25" cm="1">
        <x:f t="array" ref="B25">VALUE(INDEX(_xlfn.TEXTSPLIT(Grouped_Means!$B$2,"|"),1,48))</x:f>
        <x:v>1015039.9495713</x:v>
      </x:c>
      <x:c r="C25" cm="1">
        <x:f t="array" ref="C25">VALUE(INDEX(_xlfn.TEXTSPLIT(Grouped_Means!$B$2,"|"),1,47))</x:f>
        <x:v>39790</x:v>
      </x:c>
      <x:c r="N25">
        <x:f>N22+O22</x:f>
        <x:v>13387</x:v>
      </x:c>
    </x:row>
    <x:row r="26">
      <x:c r="A26">
        <x:v>25</x:v>
      </x:c>
      <x:c r="B26" cm="1">
        <x:f t="array" ref="B26">VALUE(INDEX(_xlfn.TEXTSPLIT(Grouped_Means!$B$2,"|"),1,50))</x:f>
        <x:v>1013530.5046846</x:v>
      </x:c>
      <x:c r="C26" cm="1">
        <x:f t="array" ref="C26">VALUE(INDEX(_xlfn.TEXTSPLIT(Grouped_Means!$B$2,"|"),1,49))</x:f>
        <x:v>39987</x:v>
      </x:c>
      <x:c r="R26">
        <x:v>25</x:v>
      </x:c>
    </x:row>
    <x:row r="28">
      <x:c r="C28" t="b">
        <x:f>SUM(C2:C26)=Summary!D11</x:f>
        <x:v>1</x:v>
      </x:c>
    </x:row>
  </x:sheetData>
</x:worksheet>
</file>

<file path=xl/worksheets/sheet10.xml><?xml version="1.0" encoding="utf-8"?>
<x:worksheet xmlns:x="http://schemas.openxmlformats.org/spreadsheetml/2006/main">
  <x:sheetData/>
  <x:drawing xmlns:r="http://schemas.openxmlformats.org/officeDocument/2006/relationships" r:id="Ra1c44dea5a504872"/>
</x:worksheet>
</file>

<file path=xl/worksheets/sheet11.xml><?xml version="1.0" encoding="utf-8"?>
<x:worksheet xmlns:x="http://schemas.openxmlformats.org/spreadsheetml/2006/main">
  <x:cols>
    <x:col min="1" max="1" width="40" customWidth="1"/>
    <x:col min="2" max="2" width="100" customWidth="1"/>
  </x:cols>
  <x:sheetData>
    <x:row r="1">
      <x:c r="A1" t="str">
        <x:v>Summary_Direct</x:v>
      </x:c>
      <x:c r="B1" t="str">
        <x:v>D2</x:v>
      </x:c>
      <x:c r="C1" t="str">
        <x:v>Full</x:v>
      </x:c>
      <x:c r="D1" t="str">
        <x:v>All</x:v>
      </x:c>
      <x:c r="E1" t="str">
        <x:v>Car_Price</x:v>
      </x:c>
      <x:c r="F1" t="str">
        <x:v>COUNT(DATA!$T$2:$T$1005001)</x:v>
      </x:c>
    </x:row>
    <x:row r="2">
      <x:c r="A2" t="str">
        <x:v>Summary_Direct</x:v>
      </x:c>
      <x:c r="B2" t="str">
        <x:v>E2</x:v>
      </x:c>
      <x:c r="C2" t="str">
        <x:v>Full</x:v>
      </x:c>
      <x:c r="D2" t="str">
        <x:v>All</x:v>
      </x:c>
      <x:c r="E2" t="str">
        <x:v>Car_Price</x:v>
      </x:c>
      <x:c r="F2" t="str">
        <x:v>AVERAGE(DATA!$T$2:$T$1005001)</x:v>
      </x:c>
    </x:row>
    <x:row r="3">
      <x:c r="A3" t="str">
        <x:v>Summary_Direct</x:v>
      </x:c>
      <x:c r="B3" t="str">
        <x:v>F2</x:v>
      </x:c>
      <x:c r="C3" t="str">
        <x:v>Full</x:v>
      </x:c>
      <x:c r="D3" t="str">
        <x:v>All</x:v>
      </x:c>
      <x:c r="E3" t="str">
        <x:v>Car_Price</x:v>
      </x:c>
      <x:c r="F3" t="str">
        <x:v>MEDIAN(DATA!$T$2:$T$1005001)</x:v>
      </x:c>
    </x:row>
    <x:row r="4">
      <x:c r="A4" t="str">
        <x:v>Summary_Direct</x:v>
      </x:c>
      <x:c r="B4" t="str">
        <x:v>G2</x:v>
      </x:c>
      <x:c r="C4" t="str">
        <x:v>Full</x:v>
      </x:c>
      <x:c r="D4" t="str">
        <x:v>All</x:v>
      </x:c>
      <x:c r="E4" t="str">
        <x:v>Car_Price</x:v>
      </x:c>
      <x:c r="F4" t="str">
        <x:v>IFNA(TEXTJOIN(", ",TRUE,MODE.MULT(DATA!$T$2:$T$1005001)),"No mode — all values unique")</x:v>
      </x:c>
    </x:row>
    <x:row r="5">
      <x:c r="A5" t="str">
        <x:v>Summary_Direct</x:v>
      </x:c>
      <x:c r="B5" t="str">
        <x:v>H2</x:v>
      </x:c>
      <x:c r="C5" t="str">
        <x:v>Full</x:v>
      </x:c>
      <x:c r="D5" t="str">
        <x:v>All</x:v>
      </x:c>
      <x:c r="E5" t="str">
        <x:v>Car_Price</x:v>
      </x:c>
      <x:c r="F5" t="str">
        <x:v>STDEV.S(DATA!$T$2:$T$1005001)</x:v>
      </x:c>
    </x:row>
    <x:row r="6">
      <x:c r="A6" t="str">
        <x:v>Summary_Direct</x:v>
      </x:c>
      <x:c r="B6" t="str">
        <x:v>I2</x:v>
      </x:c>
      <x:c r="C6" t="str">
        <x:v>Full</x:v>
      </x:c>
      <x:c r="D6" t="str">
        <x:v>All</x:v>
      </x:c>
      <x:c r="E6" t="str">
        <x:v>Car_Price</x:v>
      </x:c>
      <x:c r="F6" t="str">
        <x:v>MIN(DATA!$T$2:$T$1005001)</x:v>
      </x:c>
    </x:row>
    <x:row r="7">
      <x:c r="A7" t="str">
        <x:v>Summary_Direct</x:v>
      </x:c>
      <x:c r="B7" t="str">
        <x:v>J2</x:v>
      </x:c>
      <x:c r="C7" t="str">
        <x:v>Full</x:v>
      </x:c>
      <x:c r="D7" t="str">
        <x:v>All</x:v>
      </x:c>
      <x:c r="E7" t="str">
        <x:v>Car_Price</x:v>
      </x:c>
      <x:c r="F7" t="str">
        <x:v>QUARTILE.INC(DATA!$T$2:$T$1005001,1)</x:v>
      </x:c>
    </x:row>
    <x:row r="8">
      <x:c r="A8" t="str">
        <x:v>Summary_Direct</x:v>
      </x:c>
      <x:c r="B8" t="str">
        <x:v>K2</x:v>
      </x:c>
      <x:c r="C8" t="str">
        <x:v>Full</x:v>
      </x:c>
      <x:c r="D8" t="str">
        <x:v>All</x:v>
      </x:c>
      <x:c r="E8" t="str">
        <x:v>Car_Price</x:v>
      </x:c>
      <x:c r="F8" t="str">
        <x:v>QUARTILE.INC(DATA!$T$2:$T$1005001,3)</x:v>
      </x:c>
    </x:row>
    <x:row r="9">
      <x:c r="A9" t="str">
        <x:v>Summary_Direct</x:v>
      </x:c>
      <x:c r="B9" t="str">
        <x:v>L2</x:v>
      </x:c>
      <x:c r="C9" t="str">
        <x:v>Full</x:v>
      </x:c>
      <x:c r="D9" t="str">
        <x:v>All</x:v>
      </x:c>
      <x:c r="E9" t="str">
        <x:v>Car_Price</x:v>
      </x:c>
      <x:c r="F9" t="str">
        <x:v>MAX(DATA!$T$2:$T$1005001)</x:v>
      </x:c>
    </x:row>
    <x:row r="10">
      <x:c r="A10" t="str">
        <x:v>Summary_Direct</x:v>
      </x:c>
      <x:c r="B10" t="str">
        <x:v>M2</x:v>
      </x:c>
      <x:c r="C10" t="str">
        <x:v>Full</x:v>
      </x:c>
      <x:c r="D10" t="str">
        <x:v>All</x:v>
      </x:c>
      <x:c r="E10" t="str">
        <x:v>Car_Price</x:v>
      </x:c>
      <x:c r="F10" t="str">
        <x:v>K2-J2</x:v>
      </x:c>
    </x:row>
    <x:row r="11">
      <x:c r="A11" t="str">
        <x:v>Summary_Direct</x:v>
      </x:c>
      <x:c r="B11" t="str">
        <x:v>D3</x:v>
      </x:c>
      <x:c r="C11" t="str">
        <x:v>Full</x:v>
      </x:c>
      <x:c r="D11" t="str">
        <x:v>All</x:v>
      </x:c>
      <x:c r="E11" t="str">
        <x:v>Registration_Age</x:v>
      </x:c>
      <x:c r="F11" t="str">
        <x:v>COUNT(DATA!$S$2:$S$1005001)</x:v>
      </x:c>
    </x:row>
    <x:row r="12">
      <x:c r="A12" t="str">
        <x:v>Summary_Direct</x:v>
      </x:c>
      <x:c r="B12" t="str">
        <x:v>E3</x:v>
      </x:c>
      <x:c r="C12" t="str">
        <x:v>Full</x:v>
      </x:c>
      <x:c r="D12" t="str">
        <x:v>All</x:v>
      </x:c>
      <x:c r="E12" t="str">
        <x:v>Registration_Age</x:v>
      </x:c>
      <x:c r="F12" t="str">
        <x:v>AVERAGE(DATA!$S$2:$S$1005001)</x:v>
      </x:c>
    </x:row>
    <x:row r="13">
      <x:c r="A13" t="str">
        <x:v>Summary_Direct</x:v>
      </x:c>
      <x:c r="B13" t="str">
        <x:v>F3</x:v>
      </x:c>
      <x:c r="C13" t="str">
        <x:v>Full</x:v>
      </x:c>
      <x:c r="D13" t="str">
        <x:v>All</x:v>
      </x:c>
      <x:c r="E13" t="str">
        <x:v>Registration_Age</x:v>
      </x:c>
      <x:c r="F13" t="str">
        <x:v>MEDIAN(DATA!$S$2:$S$1005001)</x:v>
      </x:c>
    </x:row>
    <x:row r="14">
      <x:c r="A14" t="str">
        <x:v>Summary_Direct</x:v>
      </x:c>
      <x:c r="B14" t="str">
        <x:v>G3</x:v>
      </x:c>
      <x:c r="C14" t="str">
        <x:v>Full</x:v>
      </x:c>
      <x:c r="D14" t="str">
        <x:v>All</x:v>
      </x:c>
      <x:c r="E14" t="str">
        <x:v>Registration_Age</x:v>
      </x:c>
      <x:c r="F14" t="str">
        <x:v>IFNA(TEXTJOIN(", ",TRUE,MODE.MULT(DATA!$S$2:$S$1005001)),"No mode — all values unique")</x:v>
      </x:c>
    </x:row>
    <x:row r="15">
      <x:c r="A15" t="str">
        <x:v>Summary_Direct</x:v>
      </x:c>
      <x:c r="B15" t="str">
        <x:v>H3</x:v>
      </x:c>
      <x:c r="C15" t="str">
        <x:v>Full</x:v>
      </x:c>
      <x:c r="D15" t="str">
        <x:v>All</x:v>
      </x:c>
      <x:c r="E15" t="str">
        <x:v>Registration_Age</x:v>
      </x:c>
      <x:c r="F15" t="str">
        <x:v>STDEV.S(DATA!$S$2:$S$1005001)</x:v>
      </x:c>
    </x:row>
    <x:row r="16">
      <x:c r="A16" t="str">
        <x:v>Summary_Direct</x:v>
      </x:c>
      <x:c r="B16" t="str">
        <x:v>I3</x:v>
      </x:c>
      <x:c r="C16" t="str">
        <x:v>Full</x:v>
      </x:c>
      <x:c r="D16" t="str">
        <x:v>All</x:v>
      </x:c>
      <x:c r="E16" t="str">
        <x:v>Registration_Age</x:v>
      </x:c>
      <x:c r="F16" t="str">
        <x:v>MIN(DATA!$S$2:$S$1005001)</x:v>
      </x:c>
    </x:row>
    <x:row r="17">
      <x:c r="A17" t="str">
        <x:v>Summary_Direct</x:v>
      </x:c>
      <x:c r="B17" t="str">
        <x:v>J3</x:v>
      </x:c>
      <x:c r="C17" t="str">
        <x:v>Full</x:v>
      </x:c>
      <x:c r="D17" t="str">
        <x:v>All</x:v>
      </x:c>
      <x:c r="E17" t="str">
        <x:v>Registration_Age</x:v>
      </x:c>
      <x:c r="F17" t="str">
        <x:v>QUARTILE.INC(DATA!$S$2:$S$1005001,1)</x:v>
      </x:c>
    </x:row>
    <x:row r="18">
      <x:c r="A18" t="str">
        <x:v>Summary_Direct</x:v>
      </x:c>
      <x:c r="B18" t="str">
        <x:v>K3</x:v>
      </x:c>
      <x:c r="C18" t="str">
        <x:v>Full</x:v>
      </x:c>
      <x:c r="D18" t="str">
        <x:v>All</x:v>
      </x:c>
      <x:c r="E18" t="str">
        <x:v>Registration_Age</x:v>
      </x:c>
      <x:c r="F18" t="str">
        <x:v>QUARTILE.INC(DATA!$S$2:$S$1005001,3)</x:v>
      </x:c>
    </x:row>
    <x:row r="19">
      <x:c r="A19" t="str">
        <x:v>Summary_Direct</x:v>
      </x:c>
      <x:c r="B19" t="str">
        <x:v>L3</x:v>
      </x:c>
      <x:c r="C19" t="str">
        <x:v>Full</x:v>
      </x:c>
      <x:c r="D19" t="str">
        <x:v>All</x:v>
      </x:c>
      <x:c r="E19" t="str">
        <x:v>Registration_Age</x:v>
      </x:c>
      <x:c r="F19" t="str">
        <x:v>MAX(DATA!$S$2:$S$1005001)</x:v>
      </x:c>
    </x:row>
    <x:row r="20">
      <x:c r="A20" t="str">
        <x:v>Summary_Direct</x:v>
      </x:c>
      <x:c r="B20" t="str">
        <x:v>M3</x:v>
      </x:c>
      <x:c r="C20" t="str">
        <x:v>Full</x:v>
      </x:c>
      <x:c r="D20" t="str">
        <x:v>All</x:v>
      </x:c>
      <x:c r="E20" t="str">
        <x:v>Registration_Age</x:v>
      </x:c>
      <x:c r="F20" t="str">
        <x:v>K3-J3</x:v>
      </x:c>
    </x:row>
    <x:row r="21">
      <x:c r="A21" t="str">
        <x:v>Summary_Direct</x:v>
      </x:c>
      <x:c r="B21" t="str">
        <x:v>D4</x:v>
      </x:c>
      <x:c r="C21" t="str">
        <x:v>Full</x:v>
      </x:c>
      <x:c r="D21" t="str">
        <x:v>All</x:v>
      </x:c>
      <x:c r="E21" t="str">
        <x:v>Kms_Driven</x:v>
      </x:c>
      <x:c r="F21" t="str">
        <x:v>COUNT(DATA!$L$2:$L$1005001)</x:v>
      </x:c>
    </x:row>
    <x:row r="22">
      <x:c r="A22" t="str">
        <x:v>Summary_Direct</x:v>
      </x:c>
      <x:c r="B22" t="str">
        <x:v>E4</x:v>
      </x:c>
      <x:c r="C22" t="str">
        <x:v>Full</x:v>
      </x:c>
      <x:c r="D22" t="str">
        <x:v>All</x:v>
      </x:c>
      <x:c r="E22" t="str">
        <x:v>Kms_Driven</x:v>
      </x:c>
      <x:c r="F22" t="str">
        <x:v>AVERAGE(DATA!$L$2:$L$1005001)</x:v>
      </x:c>
    </x:row>
    <x:row r="23">
      <x:c r="A23" t="str">
        <x:v>Summary_Direct</x:v>
      </x:c>
      <x:c r="B23" t="str">
        <x:v>F4</x:v>
      </x:c>
      <x:c r="C23" t="str">
        <x:v>Full</x:v>
      </x:c>
      <x:c r="D23" t="str">
        <x:v>All</x:v>
      </x:c>
      <x:c r="E23" t="str">
        <x:v>Kms_Driven</x:v>
      </x:c>
      <x:c r="F23" t="str">
        <x:v>MEDIAN(DATA!$L$2:$L$1005001)</x:v>
      </x:c>
    </x:row>
    <x:row r="24">
      <x:c r="A24" t="str">
        <x:v>Summary_Direct</x:v>
      </x:c>
      <x:c r="B24" t="str">
        <x:v>G4</x:v>
      </x:c>
      <x:c r="C24" t="str">
        <x:v>Full</x:v>
      </x:c>
      <x:c r="D24" t="str">
        <x:v>All</x:v>
      </x:c>
      <x:c r="E24" t="str">
        <x:v>Kms_Driven</x:v>
      </x:c>
      <x:c r="F24" t="str">
        <x:v>IFNA(TEXTJOIN(", ",TRUE,MODE.MULT(DATA!$L$2:$L$1005001)),"No mode — all values unique")</x:v>
      </x:c>
    </x:row>
    <x:row r="25">
      <x:c r="A25" t="str">
        <x:v>Summary_Direct</x:v>
      </x:c>
      <x:c r="B25" t="str">
        <x:v>H4</x:v>
      </x:c>
      <x:c r="C25" t="str">
        <x:v>Full</x:v>
      </x:c>
      <x:c r="D25" t="str">
        <x:v>All</x:v>
      </x:c>
      <x:c r="E25" t="str">
        <x:v>Kms_Driven</x:v>
      </x:c>
      <x:c r="F25" t="str">
        <x:v>STDEV.S(DATA!$L$2:$L$1005001)</x:v>
      </x:c>
    </x:row>
    <x:row r="26">
      <x:c r="A26" t="str">
        <x:v>Summary_Direct</x:v>
      </x:c>
      <x:c r="B26" t="str">
        <x:v>I4</x:v>
      </x:c>
      <x:c r="C26" t="str">
        <x:v>Full</x:v>
      </x:c>
      <x:c r="D26" t="str">
        <x:v>All</x:v>
      </x:c>
      <x:c r="E26" t="str">
        <x:v>Kms_Driven</x:v>
      </x:c>
      <x:c r="F26" t="str">
        <x:v>MIN(DATA!$L$2:$L$1005001)</x:v>
      </x:c>
    </x:row>
    <x:row r="27">
      <x:c r="A27" t="str">
        <x:v>Summary_Direct</x:v>
      </x:c>
      <x:c r="B27" t="str">
        <x:v>J4</x:v>
      </x:c>
      <x:c r="C27" t="str">
        <x:v>Full</x:v>
      </x:c>
      <x:c r="D27" t="str">
        <x:v>All</x:v>
      </x:c>
      <x:c r="E27" t="str">
        <x:v>Kms_Driven</x:v>
      </x:c>
      <x:c r="F27" t="str">
        <x:v>QUARTILE.INC(DATA!$L$2:$L$1005001,1)</x:v>
      </x:c>
    </x:row>
    <x:row r="28">
      <x:c r="A28" t="str">
        <x:v>Summary_Direct</x:v>
      </x:c>
      <x:c r="B28" t="str">
        <x:v>K4</x:v>
      </x:c>
      <x:c r="C28" t="str">
        <x:v>Full</x:v>
      </x:c>
      <x:c r="D28" t="str">
        <x:v>All</x:v>
      </x:c>
      <x:c r="E28" t="str">
        <x:v>Kms_Driven</x:v>
      </x:c>
      <x:c r="F28" t="str">
        <x:v>QUARTILE.INC(DATA!$L$2:$L$1005001,3)</x:v>
      </x:c>
    </x:row>
    <x:row r="29">
      <x:c r="A29" t="str">
        <x:v>Summary_Direct</x:v>
      </x:c>
      <x:c r="B29" t="str">
        <x:v>L4</x:v>
      </x:c>
      <x:c r="C29" t="str">
        <x:v>Full</x:v>
      </x:c>
      <x:c r="D29" t="str">
        <x:v>All</x:v>
      </x:c>
      <x:c r="E29" t="str">
        <x:v>Kms_Driven</x:v>
      </x:c>
      <x:c r="F29" t="str">
        <x:v>MAX(DATA!$L$2:$L$1005001)</x:v>
      </x:c>
    </x:row>
    <x:row r="30">
      <x:c r="A30" t="str">
        <x:v>Summary_Direct</x:v>
      </x:c>
      <x:c r="B30" t="str">
        <x:v>M4</x:v>
      </x:c>
      <x:c r="C30" t="str">
        <x:v>Full</x:v>
      </x:c>
      <x:c r="D30" t="str">
        <x:v>All</x:v>
      </x:c>
      <x:c r="E30" t="str">
        <x:v>Kms_Driven</x:v>
      </x:c>
      <x:c r="F30" t="str">
        <x:v>K4-J4</x:v>
      </x:c>
    </x:row>
    <x:row r="31">
      <x:c r="A31" t="str">
        <x:v>Summary_Direct</x:v>
      </x:c>
      <x:c r="B31" t="str">
        <x:v>D5</x:v>
      </x:c>
      <x:c r="C31" t="str">
        <x:v>Full</x:v>
      </x:c>
      <x:c r="D31" t="str">
        <x:v>Luxury</x:v>
      </x:c>
      <x:c r="E31" t="str">
        <x:v>Car_Price</x:v>
      </x:c>
      <x:c r="F31" t="str">
        <x:v>COUNT(FILTER(DATA!$T$2:$T$1005001,(((TRIM(DATA!$A$2:$A$1005001)="Audi")+(TRIM(DATA!$A$2:$A$1005001)="BMW")+(TRIM(DATA!$A$2:$A$1005001)="Mercedes"))&gt;0)))</x:v>
      </x:c>
    </x:row>
    <x:row r="32">
      <x:c r="A32" t="str">
        <x:v>Summary_Direct</x:v>
      </x:c>
      <x:c r="B32" t="str">
        <x:v>E5</x:v>
      </x:c>
      <x:c r="C32" t="str">
        <x:v>Full</x:v>
      </x:c>
      <x:c r="D32" t="str">
        <x:v>Luxury</x:v>
      </x:c>
      <x:c r="E32" t="str">
        <x:v>Car_Price</x:v>
      </x:c>
      <x:c r="F32" t="str">
        <x:v>AVERAGE(FILTER(DATA!$T$2:$T$1005001,(((TRIM(DATA!$A$2:$A$1005001)="Audi")+(TRIM(DATA!$A$2:$A$1005001)="BMW")+(TRIM(DATA!$A$2:$A$1005001)="Mercedes"))&gt;0)))</x:v>
      </x:c>
    </x:row>
    <x:row r="33">
      <x:c r="A33" t="str">
        <x:v>Summary_Direct</x:v>
      </x:c>
      <x:c r="B33" t="str">
        <x:v>F5</x:v>
      </x:c>
      <x:c r="C33" t="str">
        <x:v>Full</x:v>
      </x:c>
      <x:c r="D33" t="str">
        <x:v>Luxury</x:v>
      </x:c>
      <x:c r="E33" t="str">
        <x:v>Car_Price</x:v>
      </x:c>
      <x:c r="F33" t="str">
        <x:v>MEDIAN(FILTER(DATA!$T$2:$T$1005001,(((TRIM(DATA!$A$2:$A$1005001)="Audi")+(TRIM(DATA!$A$2:$A$1005001)="BMW")+(TRIM(DATA!$A$2:$A$1005001)="Mercedes"))&gt;0)))</x:v>
      </x:c>
    </x:row>
    <x:row r="34">
      <x:c r="A34" t="str">
        <x:v>Summary_Direct</x:v>
      </x:c>
      <x:c r="B34" t="str">
        <x:v>G5</x:v>
      </x:c>
      <x:c r="C34" t="str">
        <x:v>Full</x:v>
      </x:c>
      <x:c r="D34" t="str">
        <x:v>Luxury</x:v>
      </x:c>
      <x:c r="E34" t="str">
        <x:v>Car_Price</x:v>
      </x:c>
      <x:c r="F34" t="str">
        <x:v>IFNA(TEXTJOIN(", ",TRUE,MODE.MULT(FILTER(DATA!$T$2:$T$1005001,(((TRIM(DATA!$A$2:$A$1005001)="Audi")+(TRIM(DATA!$A$2:$A$1005001)="BMW")+(TRIM(DATA!$A$2:$A$1005001)="Mercedes"))&gt;0)))),"No mode — all values unique")</x:v>
      </x:c>
    </x:row>
    <x:row r="35">
      <x:c r="A35" t="str">
        <x:v>Summary_Direct</x:v>
      </x:c>
      <x:c r="B35" t="str">
        <x:v>H5</x:v>
      </x:c>
      <x:c r="C35" t="str">
        <x:v>Full</x:v>
      </x:c>
      <x:c r="D35" t="str">
        <x:v>Luxury</x:v>
      </x:c>
      <x:c r="E35" t="str">
        <x:v>Car_Price</x:v>
      </x:c>
      <x:c r="F35" t="str">
        <x:v>STDEV.S(FILTER(DATA!$T$2:$T$1005001,(((TRIM(DATA!$A$2:$A$1005001)="Audi")+(TRIM(DATA!$A$2:$A$1005001)="BMW")+(TRIM(DATA!$A$2:$A$1005001)="Mercedes"))&gt;0)))</x:v>
      </x:c>
    </x:row>
    <x:row r="36">
      <x:c r="A36" t="str">
        <x:v>Summary_Direct</x:v>
      </x:c>
      <x:c r="B36" t="str">
        <x:v>I5</x:v>
      </x:c>
      <x:c r="C36" t="str">
        <x:v>Full</x:v>
      </x:c>
      <x:c r="D36" t="str">
        <x:v>Luxury</x:v>
      </x:c>
      <x:c r="E36" t="str">
        <x:v>Car_Price</x:v>
      </x:c>
      <x:c r="F36" t="str">
        <x:v>MIN(FILTER(DATA!$T$2:$T$1005001,(((TRIM(DATA!$A$2:$A$1005001)="Audi")+(TRIM(DATA!$A$2:$A$1005001)="BMW")+(TRIM(DATA!$A$2:$A$1005001)="Mercedes"))&gt;0)))</x:v>
      </x:c>
    </x:row>
    <x:row r="37">
      <x:c r="A37" t="str">
        <x:v>Summary_Direct</x:v>
      </x:c>
      <x:c r="B37" t="str">
        <x:v>J5</x:v>
      </x:c>
      <x:c r="C37" t="str">
        <x:v>Full</x:v>
      </x:c>
      <x:c r="D37" t="str">
        <x:v>Luxury</x:v>
      </x:c>
      <x:c r="E37" t="str">
        <x:v>Car_Price</x:v>
      </x:c>
      <x:c r="F37" t="str">
        <x:v>QUARTILE.INC(FILTER(DATA!$T$2:$T$1005001,(((TRIM(DATA!$A$2:$A$1005001)="Audi")+(TRIM(DATA!$A$2:$A$1005001)="BMW")+(TRIM(DATA!$A$2:$A$1005001)="Mercedes"))&gt;0)),1)</x:v>
      </x:c>
    </x:row>
    <x:row r="38">
      <x:c r="A38" t="str">
        <x:v>Summary_Direct</x:v>
      </x:c>
      <x:c r="B38" t="str">
        <x:v>K5</x:v>
      </x:c>
      <x:c r="C38" t="str">
        <x:v>Full</x:v>
      </x:c>
      <x:c r="D38" t="str">
        <x:v>Luxury</x:v>
      </x:c>
      <x:c r="E38" t="str">
        <x:v>Car_Price</x:v>
      </x:c>
      <x:c r="F38" t="str">
        <x:v>QUARTILE.INC(FILTER(DATA!$T$2:$T$1005001,(((TRIM(DATA!$A$2:$A$1005001)="Audi")+(TRIM(DATA!$A$2:$A$1005001)="BMW")+(TRIM(DATA!$A$2:$A$1005001)="Mercedes"))&gt;0)),3)</x:v>
      </x:c>
    </x:row>
    <x:row r="39">
      <x:c r="A39" t="str">
        <x:v>Summary_Direct</x:v>
      </x:c>
      <x:c r="B39" t="str">
        <x:v>L5</x:v>
      </x:c>
      <x:c r="C39" t="str">
        <x:v>Full</x:v>
      </x:c>
      <x:c r="D39" t="str">
        <x:v>Luxury</x:v>
      </x:c>
      <x:c r="E39" t="str">
        <x:v>Car_Price</x:v>
      </x:c>
      <x:c r="F39" t="str">
        <x:v>MAX(FILTER(DATA!$T$2:$T$1005001,(((TRIM(DATA!$A$2:$A$1005001)="Audi")+(TRIM(DATA!$A$2:$A$1005001)="BMW")+(TRIM(DATA!$A$2:$A$1005001)="Mercedes"))&gt;0)))</x:v>
      </x:c>
    </x:row>
    <x:row r="40">
      <x:c r="A40" t="str">
        <x:v>Summary_Direct</x:v>
      </x:c>
      <x:c r="B40" t="str">
        <x:v>M5</x:v>
      </x:c>
      <x:c r="C40" t="str">
        <x:v>Full</x:v>
      </x:c>
      <x:c r="D40" t="str">
        <x:v>Luxury</x:v>
      </x:c>
      <x:c r="E40" t="str">
        <x:v>Car_Price</x:v>
      </x:c>
      <x:c r="F40" t="str">
        <x:v>K5-J5</x:v>
      </x:c>
    </x:row>
    <x:row r="41">
      <x:c r="A41" t="str">
        <x:v>Summary_Direct</x:v>
      </x:c>
      <x:c r="B41" t="str">
        <x:v>D6</x:v>
      </x:c>
      <x:c r="C41" t="str">
        <x:v>Full</x:v>
      </x:c>
      <x:c r="D41" t="str">
        <x:v>Luxury</x:v>
      </x:c>
      <x:c r="E41" t="str">
        <x:v>Registration_Age</x:v>
      </x:c>
      <x:c r="F41" t="str">
        <x:v>COUNT(FILTER(DATA!$S$2:$S$1005001,(((TRIM(DATA!$A$2:$A$1005001)="Audi")+(TRIM(DATA!$A$2:$A$1005001)="BMW")+(TRIM(DATA!$A$2:$A$1005001)="Mercedes"))&gt;0)))</x:v>
      </x:c>
    </x:row>
    <x:row r="42">
      <x:c r="A42" t="str">
        <x:v>Summary_Direct</x:v>
      </x:c>
      <x:c r="B42" t="str">
        <x:v>E6</x:v>
      </x:c>
      <x:c r="C42" t="str">
        <x:v>Full</x:v>
      </x:c>
      <x:c r="D42" t="str">
        <x:v>Luxury</x:v>
      </x:c>
      <x:c r="E42" t="str">
        <x:v>Registration_Age</x:v>
      </x:c>
      <x:c r="F42" t="str">
        <x:v>AVERAGE(FILTER(DATA!$S$2:$S$1005001,(((TRIM(DATA!$A$2:$A$1005001)="Audi")+(TRIM(DATA!$A$2:$A$1005001)="BMW")+(TRIM(DATA!$A$2:$A$1005001)="Mercedes"))&gt;0)))</x:v>
      </x:c>
    </x:row>
    <x:row r="43">
      <x:c r="A43" t="str">
        <x:v>Summary_Direct</x:v>
      </x:c>
      <x:c r="B43" t="str">
        <x:v>F6</x:v>
      </x:c>
      <x:c r="C43" t="str">
        <x:v>Full</x:v>
      </x:c>
      <x:c r="D43" t="str">
        <x:v>Luxury</x:v>
      </x:c>
      <x:c r="E43" t="str">
        <x:v>Registration_Age</x:v>
      </x:c>
      <x:c r="F43" t="str">
        <x:v>MEDIAN(FILTER(DATA!$S$2:$S$1005001,(((TRIM(DATA!$A$2:$A$1005001)="Audi")+(TRIM(DATA!$A$2:$A$1005001)="BMW")+(TRIM(DATA!$A$2:$A$1005001)="Mercedes"))&gt;0)))</x:v>
      </x:c>
    </x:row>
    <x:row r="44">
      <x:c r="A44" t="str">
        <x:v>Summary_Direct</x:v>
      </x:c>
      <x:c r="B44" t="str">
        <x:v>G6</x:v>
      </x:c>
      <x:c r="C44" t="str">
        <x:v>Full</x:v>
      </x:c>
      <x:c r="D44" t="str">
        <x:v>Luxury</x:v>
      </x:c>
      <x:c r="E44" t="str">
        <x:v>Registration_Age</x:v>
      </x:c>
      <x:c r="F44" t="str">
        <x:v>IFNA(TEXTJOIN(", ",TRUE,MODE.MULT(FILTER(DATA!$S$2:$S$1005001,(((TRIM(DATA!$A$2:$A$1005001)="Audi")+(TRIM(DATA!$A$2:$A$1005001)="BMW")+(TRIM(DATA!$A$2:$A$1005001)="Mercedes"))&gt;0)))),"No mode — all values unique")</x:v>
      </x:c>
    </x:row>
    <x:row r="45">
      <x:c r="A45" t="str">
        <x:v>Summary_Direct</x:v>
      </x:c>
      <x:c r="B45" t="str">
        <x:v>H6</x:v>
      </x:c>
      <x:c r="C45" t="str">
        <x:v>Full</x:v>
      </x:c>
      <x:c r="D45" t="str">
        <x:v>Luxury</x:v>
      </x:c>
      <x:c r="E45" t="str">
        <x:v>Registration_Age</x:v>
      </x:c>
      <x:c r="F45" t="str">
        <x:v>STDEV.S(FILTER(DATA!$S$2:$S$1005001,(((TRIM(DATA!$A$2:$A$1005001)="Audi")+(TRIM(DATA!$A$2:$A$1005001)="BMW")+(TRIM(DATA!$A$2:$A$1005001)="Mercedes"))&gt;0)))</x:v>
      </x:c>
    </x:row>
    <x:row r="46">
      <x:c r="A46" t="str">
        <x:v>Summary_Direct</x:v>
      </x:c>
      <x:c r="B46" t="str">
        <x:v>I6</x:v>
      </x:c>
      <x:c r="C46" t="str">
        <x:v>Full</x:v>
      </x:c>
      <x:c r="D46" t="str">
        <x:v>Luxury</x:v>
      </x:c>
      <x:c r="E46" t="str">
        <x:v>Registration_Age</x:v>
      </x:c>
      <x:c r="F46" t="str">
        <x:v>MIN(FILTER(DATA!$S$2:$S$1005001,(((TRIM(DATA!$A$2:$A$1005001)="Audi")+(TRIM(DATA!$A$2:$A$1005001)="BMW")+(TRIM(DATA!$A$2:$A$1005001)="Mercedes"))&gt;0)))</x:v>
      </x:c>
    </x:row>
    <x:row r="47">
      <x:c r="A47" t="str">
        <x:v>Summary_Direct</x:v>
      </x:c>
      <x:c r="B47" t="str">
        <x:v>J6</x:v>
      </x:c>
      <x:c r="C47" t="str">
        <x:v>Full</x:v>
      </x:c>
      <x:c r="D47" t="str">
        <x:v>Luxury</x:v>
      </x:c>
      <x:c r="E47" t="str">
        <x:v>Registration_Age</x:v>
      </x:c>
      <x:c r="F47" t="str">
        <x:v>QUARTILE.INC(FILTER(DATA!$S$2:$S$1005001,(((TRIM(DATA!$A$2:$A$1005001)="Audi")+(TRIM(DATA!$A$2:$A$1005001)="BMW")+(TRIM(DATA!$A$2:$A$1005001)="Mercedes"))&gt;0)),1)</x:v>
      </x:c>
    </x:row>
    <x:row r="48">
      <x:c r="A48" t="str">
        <x:v>Summary_Direct</x:v>
      </x:c>
      <x:c r="B48" t="str">
        <x:v>K6</x:v>
      </x:c>
      <x:c r="C48" t="str">
        <x:v>Full</x:v>
      </x:c>
      <x:c r="D48" t="str">
        <x:v>Luxury</x:v>
      </x:c>
      <x:c r="E48" t="str">
        <x:v>Registration_Age</x:v>
      </x:c>
      <x:c r="F48" t="str">
        <x:v>QUARTILE.INC(FILTER(DATA!$S$2:$S$1005001,(((TRIM(DATA!$A$2:$A$1005001)="Audi")+(TRIM(DATA!$A$2:$A$1005001)="BMW")+(TRIM(DATA!$A$2:$A$1005001)="Mercedes"))&gt;0)),3)</x:v>
      </x:c>
    </x:row>
    <x:row r="49">
      <x:c r="A49" t="str">
        <x:v>Summary_Direct</x:v>
      </x:c>
      <x:c r="B49" t="str">
        <x:v>L6</x:v>
      </x:c>
      <x:c r="C49" t="str">
        <x:v>Full</x:v>
      </x:c>
      <x:c r="D49" t="str">
        <x:v>Luxury</x:v>
      </x:c>
      <x:c r="E49" t="str">
        <x:v>Registration_Age</x:v>
      </x:c>
      <x:c r="F49" t="str">
        <x:v>MAX(FILTER(DATA!$S$2:$S$1005001,(((TRIM(DATA!$A$2:$A$1005001)="Audi")+(TRIM(DATA!$A$2:$A$1005001)="BMW")+(TRIM(DATA!$A$2:$A$1005001)="Mercedes"))&gt;0)))</x:v>
      </x:c>
    </x:row>
    <x:row r="50">
      <x:c r="A50" t="str">
        <x:v>Summary_Direct</x:v>
      </x:c>
      <x:c r="B50" t="str">
        <x:v>M6</x:v>
      </x:c>
      <x:c r="C50" t="str">
        <x:v>Full</x:v>
      </x:c>
      <x:c r="D50" t="str">
        <x:v>Luxury</x:v>
      </x:c>
      <x:c r="E50" t="str">
        <x:v>Registration_Age</x:v>
      </x:c>
      <x:c r="F50" t="str">
        <x:v>K6-J6</x:v>
      </x:c>
    </x:row>
    <x:row r="51">
      <x:c r="A51" t="str">
        <x:v>Summary_Direct</x:v>
      </x:c>
      <x:c r="B51" t="str">
        <x:v>D7</x:v>
      </x:c>
      <x:c r="C51" t="str">
        <x:v>Full</x:v>
      </x:c>
      <x:c r="D51" t="str">
        <x:v>Luxury</x:v>
      </x:c>
      <x:c r="E51" t="str">
        <x:v>Kms_Driven</x:v>
      </x:c>
      <x:c r="F51" t="str">
        <x:v>COUNT(FILTER(DATA!$L$2:$L$1005001,(((TRIM(DATA!$A$2:$A$1005001)="Audi")+(TRIM(DATA!$A$2:$A$1005001)="BMW")+(TRIM(DATA!$A$2:$A$1005001)="Mercedes"))&gt;0)))</x:v>
      </x:c>
    </x:row>
    <x:row r="52">
      <x:c r="A52" t="str">
        <x:v>Summary_Direct</x:v>
      </x:c>
      <x:c r="B52" t="str">
        <x:v>E7</x:v>
      </x:c>
      <x:c r="C52" t="str">
        <x:v>Full</x:v>
      </x:c>
      <x:c r="D52" t="str">
        <x:v>Luxury</x:v>
      </x:c>
      <x:c r="E52" t="str">
        <x:v>Kms_Driven</x:v>
      </x:c>
      <x:c r="F52" t="str">
        <x:v>AVERAGE(FILTER(DATA!$L$2:$L$1005001,(((TRIM(DATA!$A$2:$A$1005001)="Audi")+(TRIM(DATA!$A$2:$A$1005001)="BMW")+(TRIM(DATA!$A$2:$A$1005001)="Mercedes"))&gt;0)))</x:v>
      </x:c>
    </x:row>
    <x:row r="53">
      <x:c r="A53" t="str">
        <x:v>Summary_Direct</x:v>
      </x:c>
      <x:c r="B53" t="str">
        <x:v>F7</x:v>
      </x:c>
      <x:c r="C53" t="str">
        <x:v>Full</x:v>
      </x:c>
      <x:c r="D53" t="str">
        <x:v>Luxury</x:v>
      </x:c>
      <x:c r="E53" t="str">
        <x:v>Kms_Driven</x:v>
      </x:c>
      <x:c r="F53" t="str">
        <x:v>MEDIAN(FILTER(DATA!$L$2:$L$1005001,(((TRIM(DATA!$A$2:$A$1005001)="Audi")+(TRIM(DATA!$A$2:$A$1005001)="BMW")+(TRIM(DATA!$A$2:$A$1005001)="Mercedes"))&gt;0)))</x:v>
      </x:c>
    </x:row>
    <x:row r="54">
      <x:c r="A54" t="str">
        <x:v>Summary_Direct</x:v>
      </x:c>
      <x:c r="B54" t="str">
        <x:v>G7</x:v>
      </x:c>
      <x:c r="C54" t="str">
        <x:v>Full</x:v>
      </x:c>
      <x:c r="D54" t="str">
        <x:v>Luxury</x:v>
      </x:c>
      <x:c r="E54" t="str">
        <x:v>Kms_Driven</x:v>
      </x:c>
      <x:c r="F54" t="str">
        <x:v>IFNA(TEXTJOIN(", ",TRUE,MODE.MULT(FILTER(DATA!$L$2:$L$1005001,(((TRIM(DATA!$A$2:$A$1005001)="Audi")+(TRIM(DATA!$A$2:$A$1005001)="BMW")+(TRIM(DATA!$A$2:$A$1005001)="Mercedes"))&gt;0)))),"No mode — all values unique")</x:v>
      </x:c>
    </x:row>
    <x:row r="55">
      <x:c r="A55" t="str">
        <x:v>Summary_Direct</x:v>
      </x:c>
      <x:c r="B55" t="str">
        <x:v>H7</x:v>
      </x:c>
      <x:c r="C55" t="str">
        <x:v>Full</x:v>
      </x:c>
      <x:c r="D55" t="str">
        <x:v>Luxury</x:v>
      </x:c>
      <x:c r="E55" t="str">
        <x:v>Kms_Driven</x:v>
      </x:c>
      <x:c r="F55" t="str">
        <x:v>STDEV.S(FILTER(DATA!$L$2:$L$1005001,(((TRIM(DATA!$A$2:$A$1005001)="Audi")+(TRIM(DATA!$A$2:$A$1005001)="BMW")+(TRIM(DATA!$A$2:$A$1005001)="Mercedes"))&gt;0)))</x:v>
      </x:c>
    </x:row>
    <x:row r="56">
      <x:c r="A56" t="str">
        <x:v>Summary_Direct</x:v>
      </x:c>
      <x:c r="B56" t="str">
        <x:v>I7</x:v>
      </x:c>
      <x:c r="C56" t="str">
        <x:v>Full</x:v>
      </x:c>
      <x:c r="D56" t="str">
        <x:v>Luxury</x:v>
      </x:c>
      <x:c r="E56" t="str">
        <x:v>Kms_Driven</x:v>
      </x:c>
      <x:c r="F56" t="str">
        <x:v>MIN(FILTER(DATA!$L$2:$L$1005001,(((TRIM(DATA!$A$2:$A$1005001)="Audi")+(TRIM(DATA!$A$2:$A$1005001)="BMW")+(TRIM(DATA!$A$2:$A$1005001)="Mercedes"))&gt;0)))</x:v>
      </x:c>
    </x:row>
    <x:row r="57">
      <x:c r="A57" t="str">
        <x:v>Summary_Direct</x:v>
      </x:c>
      <x:c r="B57" t="str">
        <x:v>J7</x:v>
      </x:c>
      <x:c r="C57" t="str">
        <x:v>Full</x:v>
      </x:c>
      <x:c r="D57" t="str">
        <x:v>Luxury</x:v>
      </x:c>
      <x:c r="E57" t="str">
        <x:v>Kms_Driven</x:v>
      </x:c>
      <x:c r="F57" t="str">
        <x:v>QUARTILE.INC(FILTER(DATA!$L$2:$L$1005001,(((TRIM(DATA!$A$2:$A$1005001)="Audi")+(TRIM(DATA!$A$2:$A$1005001)="BMW")+(TRIM(DATA!$A$2:$A$1005001)="Mercedes"))&gt;0)),1)</x:v>
      </x:c>
    </x:row>
    <x:row r="58">
      <x:c r="A58" t="str">
        <x:v>Summary_Direct</x:v>
      </x:c>
      <x:c r="B58" t="str">
        <x:v>K7</x:v>
      </x:c>
      <x:c r="C58" t="str">
        <x:v>Full</x:v>
      </x:c>
      <x:c r="D58" t="str">
        <x:v>Luxury</x:v>
      </x:c>
      <x:c r="E58" t="str">
        <x:v>Kms_Driven</x:v>
      </x:c>
      <x:c r="F58" t="str">
        <x:v>QUARTILE.INC(FILTER(DATA!$L$2:$L$1005001,(((TRIM(DATA!$A$2:$A$1005001)="Audi")+(TRIM(DATA!$A$2:$A$1005001)="BMW")+(TRIM(DATA!$A$2:$A$1005001)="Mercedes"))&gt;0)),3)</x:v>
      </x:c>
    </x:row>
    <x:row r="59">
      <x:c r="A59" t="str">
        <x:v>Summary_Direct</x:v>
      </x:c>
      <x:c r="B59" t="str">
        <x:v>L7</x:v>
      </x:c>
      <x:c r="C59" t="str">
        <x:v>Full</x:v>
      </x:c>
      <x:c r="D59" t="str">
        <x:v>Luxury</x:v>
      </x:c>
      <x:c r="E59" t="str">
        <x:v>Kms_Driven</x:v>
      </x:c>
      <x:c r="F59" t="str">
        <x:v>MAX(FILTER(DATA!$L$2:$L$1005001,(((TRIM(DATA!$A$2:$A$1005001)="Audi")+(TRIM(DATA!$A$2:$A$1005001)="BMW")+(TRIM(DATA!$A$2:$A$1005001)="Mercedes"))&gt;0)))</x:v>
      </x:c>
    </x:row>
    <x:row r="60">
      <x:c r="A60" t="str">
        <x:v>Summary_Direct</x:v>
      </x:c>
      <x:c r="B60" t="str">
        <x:v>M7</x:v>
      </x:c>
      <x:c r="C60" t="str">
        <x:v>Full</x:v>
      </x:c>
      <x:c r="D60" t="str">
        <x:v>Luxury</x:v>
      </x:c>
      <x:c r="E60" t="str">
        <x:v>Kms_Driven</x:v>
      </x:c>
      <x:c r="F60" t="str">
        <x:v>K7-J7</x:v>
      </x:c>
    </x:row>
    <x:row r="61">
      <x:c r="A61" t="str">
        <x:v>Calculations</x:v>
      </x:c>
      <x:c r="B61" t="str">
        <x:v>D12</x:v>
      </x:c>
      <x:c r="C61" t="str">
        <x:v>Screened</x:v>
      </x:c>
      <x:c r="D61" t="str">
        <x:v>All</x:v>
      </x:c>
      <x:c r="E61" t="str">
        <x:v>Registration_Age</x:v>
      </x:c>
      <x:c r="F61" t="str">
        <x:v>LET(data_values,FILTER(DATA!$S$2:$S$1005001,(DATA!$L$2:$L$1005001&lt;=Controls!$B$2)),TEXTJOIN("|",FALSE,COUNT(data_values),AVERAGE(data_values),MEDIAN(data_values),IFNA(TEXTJOIN(",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  <x:row r="62">
      <x:c r="A62" t="str">
        <x:v>Calculations</x:v>
      </x:c>
      <x:c r="B62" t="str">
        <x:v>D13</x:v>
      </x:c>
      <x:c r="C62" t="str">
        <x:v>Screened</x:v>
      </x:c>
      <x:c r="D62" t="str">
        <x:v>All</x:v>
      </x:c>
      <x:c r="E62" t="str">
        <x:v>Kms_Driven</x:v>
      </x:c>
      <x:c r="F62" t="str">
        <x:v>LET(data_values,FILTER(DATA!$L$2:$L$1005001,(DATA!$L$2:$L$1005001&lt;=Controls!$B$2)),TEXTJOIN("|",FALSE,COUNT(data_values),AVERAGE(data_values),MEDIAN(data_values),IFNA(TEXTJOIN(",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  <x:row r="63">
      <x:c r="A63" t="str">
        <x:v>Calculations</x:v>
      </x:c>
      <x:c r="B63" t="str">
        <x:v>D14</x:v>
      </x:c>
      <x:c r="C63" t="str">
        <x:v>Screened</x:v>
      </x:c>
      <x:c r="D63" t="str">
        <x:v>Luxury</x:v>
      </x:c>
      <x:c r="E63" t="str">
        <x:v>Car_Price</x:v>
      </x:c>
      <x:c r="F63" t="str">
        <x:v>LET(data_values,FILTER(DATA!$T$2:$T$1005001,(DATA!$L$2:$L$1005001&lt;=Controls!$B$2)*(((TRIM(DATA!$A$2:$A$1005001)="Audi")+(TRIM(DATA!$A$2:$A$1005001)="BMW")+(TRIM(DATA!$A$2:$A$1005001)="Mercedes"))&gt;0)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  <x:row r="64">
      <x:c r="A64" t="str">
        <x:v>Calculations</x:v>
      </x:c>
      <x:c r="B64" t="str">
        <x:v>D15</x:v>
      </x:c>
      <x:c r="C64" t="str">
        <x:v>Screened</x:v>
      </x:c>
      <x:c r="D64" t="str">
        <x:v>Luxury</x:v>
      </x:c>
      <x:c r="E64" t="str">
        <x:v>Registration_Age</x:v>
      </x:c>
      <x:c r="F64" t="str">
        <x:v>LET(data_values,FILTER(DATA!$S$2:$S$1005001,(DATA!$L$2:$L$1005001&lt;=Controls!$B$2)*(((TRIM(DATA!$A$2:$A$1005001)="Audi")+(TRIM(DATA!$A$2:$A$1005001)="BMW")+(TRIM(DATA!$A$2:$A$1005001)="Mercedes"))&gt;0)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  <x:row r="65">
      <x:c r="A65" t="str">
        <x:v>Calculations</x:v>
      </x:c>
      <x:c r="B65" t="str">
        <x:v>D16</x:v>
      </x:c>
      <x:c r="C65" t="str">
        <x:v>Screened</x:v>
      </x:c>
      <x:c r="D65" t="str">
        <x:v>Luxury</x:v>
      </x:c>
      <x:c r="E65" t="str">
        <x:v>Kms_Driven</x:v>
      </x:c>
      <x:c r="F65" t="str">
        <x:v>LET(data_values,FILTER(DATA!$L$2:$L$1005001,(DATA!$L$2:$L$1005001&lt;=Controls!$B$2)*(((TRIM(DATA!$A$2:$A$1005001)="Audi")+(TRIM(DATA!$A$2:$A$1005001)="BMW")+(TRIM(DATA!$A$2:$A$1005001)="Mercedes"))&gt;0)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  <x:row r="66">
      <x:c r="A66" t="str">
        <x:v>Calculations</x:v>
      </x:c>
      <x:c r="B66" t="str">
        <x:v>D17</x:v>
      </x:c>
      <x:c r="C66" t="str">
        <x:v>Screened</x:v>
      </x:c>
      <x:c r="D66" t="str">
        <x:v>Non-luxury</x:v>
      </x:c>
      <x:c r="E66" t="str">
        <x:v>Car_Price</x:v>
      </x:c>
      <x:c r="F66" t="str">
        <x:v>LET(data_values,FILTER(DATA!$T$2:$T$1005001,(DATA!$L$2:$L$1005001&lt;=Controls!$B$2)*(((TRIM(DATA!$A$2:$A$1005001)="Audi")+(TRIM(DATA!$A$2:$A$1005001)="BMW")+(TRIM(DATA!$A$2:$A$1005001)="Mercedes"))=0)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  <x:row r="67">
      <x:c r="A67" t="str">
        <x:v>Calculations</x:v>
      </x:c>
      <x:c r="B67" t="str">
        <x:v>D18</x:v>
      </x:c>
      <x:c r="C67" t="str">
        <x:v>Screened</x:v>
      </x:c>
      <x:c r="D67" t="str">
        <x:v>Non-luxury</x:v>
      </x:c>
      <x:c r="E67" t="str">
        <x:v>Registration_Age</x:v>
      </x:c>
      <x:c r="F67" t="str">
        <x:v>LET(data_values,FILTER(DATA!$S$2:$S$1005001,(DATA!$L$2:$L$1005001&lt;=Controls!$B$2)*(((TRIM(DATA!$A$2:$A$1005001)="Audi")+(TRIM(DATA!$A$2:$A$1005001)="BMW")+(TRIM(DATA!$A$2:$A$1005001)="Mercedes"))=0)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  <x:row r="68">
      <x:c r="A68" t="str">
        <x:v>Calculations</x:v>
      </x:c>
      <x:c r="B68" t="str">
        <x:v>D19</x:v>
      </x:c>
      <x:c r="C68" t="str">
        <x:v>Screened</x:v>
      </x:c>
      <x:c r="D68" t="str">
        <x:v>Non-luxury</x:v>
      </x:c>
      <x:c r="E68" t="str">
        <x:v>Kms_Driven</x:v>
      </x:c>
      <x:c r="F68" t="str">
        <x:v>LET(data_values,FILTER(DATA!$L$2:$L$1005001,(DATA!$L$2:$L$1005001&lt;=Controls!$B$2)*(((TRIM(DATA!$A$2:$A$1005001)="Audi")+(TRIM(DATA!$A$2:$A$1005001)="BMW")+(TRIM(DATA!$A$2:$A$1005001)="Mercedes"))=0)),TEXTJOIN("|",FALSE,COUNT(data_values),AVERAGE(data_values),MEDIAN(data_values),IFNA(TEXTJOIN(", ",TRUE,MODE.MULT(data_values)),"No mode — all values unique"),STDEV.S(data_values),MIN(data_values),QUARTILE.INC(data_values,1),QUARTILE.INC(data_values,3),MAX(data_values)))</x:v>
      </x:c>
    </x:row>
  </x:sheetData>
</x:worksheet>
</file>

<file path=docProps/app.xml><?xml version="1.0" encoding="utf-8"?>
<ap:Properties xmlns:ap="http://schemas.openxmlformats.org/officeDocument/2006/extended-properties">
  <ap:Application>OfficeCLI/1.0.155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2026-10-07T13:59:45Z</dcterms:created>
  <cp:lastModifiedBy>OfficeCLI</cp:lastModifiedBy>
  <dcterms:modified xsi:type="dcterms:W3CDTF">2026-10-07T13:59:45Z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1.0.155</vt:lpwstr>
  </op:property>
  <op:property fmtid="{D5CDD505-2E9C-101B-9397-08002B2CF9AE}" pid="3" name="OfficeCLI.LastModified">
    <vt:lpwstr xmlns:vt="http://schemas.openxmlformats.org/officeDocument/2006/docPropsVTypes">2026-10-07T14:49:09Z</vt:lpwstr>
  </op:property>
</op:Properties>
</file>